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esumo Mensal" sheetId="2" state="visible" r:id="rId4"/>
    <sheet name="Resumo Anual" sheetId="3" state="visible" r:id="rId5"/>
    <sheet name="Comparativo 24-07-2026" sheetId="4" state="visible" r:id="rId6"/>
    <sheet name="Inadimplência ERP" sheetId="5" state="visible" r:id="rId7"/>
    <sheet name="Contrapartes" sheetId="6" state="visible" r:id="rId8"/>
    <sheet name="Centros de Custo" sheetId="7" state="visible" r:id="rId9"/>
    <sheet name="Qualidade dos Dados" sheetId="8" state="visible" r:id="rId10"/>
    <sheet name="Metodologia" sheetId="9" state="visible" r:id="rId11"/>
  </sheets>
  <definedNames>
    <definedName function="false" hidden="true" localSheetId="6" name="_xlnm._FilterDatabase" vbProcedure="false">'Centros de Custo'!$A$4:$F$84</definedName>
    <definedName function="false" hidden="false" localSheetId="3" name="_xlnm.Print_Area" vbProcedure="false">'Comparativo 24-07-2026'!$A$1:$F$75</definedName>
    <definedName function="false" hidden="false" localSheetId="5" name="_xlnm.Print_Area" vbProcedure="false">Contrapartes!$A$1:$I$35</definedName>
    <definedName function="false" hidden="false" localSheetId="0" name="_xlnm.Print_Area" vbProcedure="false">Dashboard!$A$1:$N$50</definedName>
    <definedName function="false" hidden="true" localSheetId="1" name="_xlnm._FilterDatabase" vbProcedure="false">'Resumo Mensal'!$A$4:$H$35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G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J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J8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M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  <comment ref="M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127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A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J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  <comment ref="J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2</xdr:rowOff>
              </xdr:from>
              <xdr:to>
                <xdr:col>2</xdr:col>
                <xdr:colOff>16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6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-29</xdr:colOff>
                <xdr:row>3</xdr:row>
                <xdr:rowOff>11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38</xdr:rowOff>
              </xdr:from>
              <xdr:to>
                <xdr:col>1</xdr:col>
                <xdr:colOff>-29</xdr:colOff>
                <xdr:row>3</xdr:row>
                <xdr:rowOff>29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21</xdr:rowOff>
              </xdr:from>
              <xdr:to>
                <xdr:col>1</xdr:col>
                <xdr:colOff>-29</xdr:colOff>
                <xdr:row>6</xdr:row>
                <xdr:rowOff>14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10</xdr:rowOff>
              </xdr:from>
              <xdr:to>
                <xdr:col>1</xdr:col>
                <xdr:colOff>-29</xdr:colOff>
                <xdr:row>6</xdr:row>
                <xdr:rowOff>32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10</xdr:rowOff>
              </xdr:from>
              <xdr:to>
                <xdr:col>1</xdr:col>
                <xdr:colOff>-29</xdr:colOff>
                <xdr:row>6</xdr:row>
                <xdr:rowOff>32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22</xdr:rowOff>
              </xdr:from>
              <xdr:to>
                <xdr:col>1</xdr:col>
                <xdr:colOff>-29</xdr:colOff>
                <xdr:row>9</xdr:row>
                <xdr:rowOff>7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20</xdr:rowOff>
              </xdr:from>
              <xdr:to>
                <xdr:col>1</xdr:col>
                <xdr:colOff>-29</xdr:colOff>
                <xdr:row>10</xdr:row>
                <xdr:rowOff>5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37</xdr:rowOff>
              </xdr:from>
              <xdr:to>
                <xdr:col>1</xdr:col>
                <xdr:colOff>-29</xdr:colOff>
                <xdr:row>10</xdr:row>
                <xdr:rowOff>23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35</xdr:rowOff>
              </xdr:from>
              <xdr:to>
                <xdr:col>1</xdr:col>
                <xdr:colOff>-29</xdr:colOff>
                <xdr:row>12</xdr:row>
                <xdr:rowOff>1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35</xdr:rowOff>
              </xdr:from>
              <xdr:to>
                <xdr:col>1</xdr:col>
                <xdr:colOff>-29</xdr:colOff>
                <xdr:row>12</xdr:row>
                <xdr:rowOff>1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35</xdr:rowOff>
              </xdr:from>
              <xdr:to>
                <xdr:col>1</xdr:col>
                <xdr:colOff>-29</xdr:colOff>
                <xdr:row>12</xdr:row>
                <xdr:rowOff>1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35</xdr:rowOff>
              </xdr:from>
              <xdr:to>
                <xdr:col>1</xdr:col>
                <xdr:colOff>-29</xdr:colOff>
                <xdr:row>12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-29</xdr:colOff>
                <xdr:row>3</xdr:row>
                <xdr:rowOff>11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-29</xdr:colOff>
                <xdr:row>4</xdr:row>
                <xdr:rowOff>35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4</xdr:row>
                <xdr:rowOff>10</xdr:rowOff>
              </xdr:from>
              <xdr:to>
                <xdr:col>1</xdr:col>
                <xdr:colOff>-29</xdr:colOff>
                <xdr:row>6</xdr:row>
                <xdr:rowOff>32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8</xdr:rowOff>
              </xdr:from>
              <xdr:to>
                <xdr:col>1</xdr:col>
                <xdr:colOff>-29</xdr:colOff>
                <xdr:row>7</xdr:row>
                <xdr:rowOff>29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6</xdr:rowOff>
              </xdr:from>
              <xdr:to>
                <xdr:col>1</xdr:col>
                <xdr:colOff>-29</xdr:colOff>
                <xdr:row>8</xdr:row>
                <xdr:rowOff>9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6</xdr:row>
                <xdr:rowOff>24</xdr:rowOff>
              </xdr:from>
              <xdr:to>
                <xdr:col>1</xdr:col>
                <xdr:colOff>-29</xdr:colOff>
                <xdr:row>8</xdr:row>
                <xdr:rowOff>27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2</xdr:rowOff>
              </xdr:from>
              <xdr:to>
                <xdr:col>1</xdr:col>
                <xdr:colOff>-29</xdr:colOff>
                <xdr:row>9</xdr:row>
                <xdr:rowOff>25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37</xdr:rowOff>
              </xdr:from>
              <xdr:to>
                <xdr:col>1</xdr:col>
                <xdr:colOff>-29</xdr:colOff>
                <xdr:row>10</xdr:row>
                <xdr:rowOff>23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8</xdr:row>
                <xdr:rowOff>55</xdr:rowOff>
              </xdr:from>
              <xdr:to>
                <xdr:col>1</xdr:col>
                <xdr:colOff>-29</xdr:colOff>
                <xdr:row>11</xdr:row>
                <xdr:rowOff>3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35</xdr:rowOff>
              </xdr:from>
              <xdr:to>
                <xdr:col>1</xdr:col>
                <xdr:colOff>-29</xdr:colOff>
                <xdr:row>12</xdr:row>
                <xdr:rowOff>1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35</xdr:rowOff>
              </xdr:from>
              <xdr:to>
                <xdr:col>1</xdr:col>
                <xdr:colOff>-29</xdr:colOff>
                <xdr:row>12</xdr:row>
                <xdr:rowOff>1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35</xdr:rowOff>
              </xdr:from>
              <xdr:to>
                <xdr:col>1</xdr:col>
                <xdr:colOff>-29</xdr:colOff>
                <xdr:row>12</xdr:row>
                <xdr:rowOff>1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Fonte: informação comparativa enviada por Jorge no chat em 27/07/2026.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31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C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2</xdr:row>
                <xdr:rowOff>13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OpenAI</author>
  </authors>
  <commentList>
    <comment ref="B5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2</xdr:row>
                <xdr:rowOff>13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-29</xdr:colOff>
                <xdr:row>3</xdr:row>
                <xdr:rowOff>11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20</xdr:rowOff>
              </xdr:from>
              <xdr:to>
                <xdr:col>1</xdr:col>
                <xdr:colOff>-29</xdr:colOff>
                <xdr:row>3</xdr:row>
                <xdr:rowOff>11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38</xdr:rowOff>
              </xdr:from>
              <xdr:to>
                <xdr:col>1</xdr:col>
                <xdr:colOff>-29</xdr:colOff>
                <xdr:row>3</xdr:row>
                <xdr:rowOff>29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13</xdr:rowOff>
              </xdr:from>
              <xdr:to>
                <xdr:col>1</xdr:col>
                <xdr:colOff>-29</xdr:colOff>
                <xdr:row>4</xdr:row>
                <xdr:rowOff>9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-29</xdr:colOff>
                <xdr:row>5</xdr:row>
                <xdr:rowOff>7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Fonte: Base_Consolidada_Movimentos_2024_2026.csv, consolidada dos três arquivos enviados.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3</xdr:rowOff>
              </xdr:from>
              <xdr:to>
                <xdr:col>1</xdr:col>
                <xdr:colOff>-29</xdr:colOff>
                <xdr:row>6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<sst xmlns="http://schemas.openxmlformats.org/spreadsheetml/2006/main" count="530" uniqueCount="446">
  <si>
    <t xml:space="preserve">DASHBOARD EXECUTIVO | MOVIMENTOS 2024–2026</t>
  </si>
  <si>
    <t xml:space="preserve">Base consolidada dos arquivos enviados + comparativo operacional de 24/07/2026</t>
  </si>
  <si>
    <t xml:space="preserve">DATA DE CORTE</t>
  </si>
  <si>
    <t xml:space="preserve">SNAPSHOT</t>
  </si>
  <si>
    <t xml:space="preserve">RECEBER ORIGINAL
R$ 100.883.851,14</t>
  </si>
  <si>
    <t xml:space="preserve">PAGAR ORIGINAL
R$ 94.368.877,70</t>
  </si>
  <si>
    <t xml:space="preserve">RESULTADO ORIGINAL
R$ 6.514.973,44</t>
  </si>
  <si>
    <t xml:space="preserve">CAIXA LÍQUIDO
R$ 6.811.424,24</t>
  </si>
  <si>
    <t xml:space="preserve">REGISTROS
79.665</t>
  </si>
  <si>
    <t xml:space="preserve">RECEBER EM ABERTO
R$ 5.372.699,25</t>
  </si>
  <si>
    <t xml:space="preserve">RECEBER VENCIDO
R$ 1.839.046,06</t>
  </si>
  <si>
    <t xml:space="preserve">PAGAR EM ABERTO
R$ 3.897.562,87</t>
  </si>
  <si>
    <t xml:space="preserve">INADIMPLÊNCIA INFORMADA
R$ 795.735,88</t>
  </si>
  <si>
    <t xml:space="preserve">ERP AJUSTADO 24/07
R$ 803.842,65</t>
  </si>
  <si>
    <t xml:space="preserve">ALERTA DE CONCILIAÇÃO: saldo manual R$ 795.735,88 x carteira ERP ajustada R$ 803.842,65 — diferença R$ 8.106,77 (1,0%).</t>
  </si>
  <si>
    <t xml:space="preserve">CONCILIAÇÃO DA INADIMPLÊNCIA — 24/07/2026</t>
  </si>
  <si>
    <t xml:space="preserve">LEITURA EXECUTIVA</t>
  </si>
  <si>
    <t xml:space="preserve">SALDO INFORMADO
R$ 795.735,88</t>
  </si>
  <si>
    <t xml:space="preserve">ERP AJUSTADO
R$ 803.842,65</t>
  </si>
  <si>
    <t xml:space="preserve">DIFERENÇA
R$ 8.106,77</t>
  </si>
  <si>
    <t xml:space="preserve">• A carteira ERP ajustada de 24/07 está R$ 8.106,77 acima do saldo manual, diferença de aproximadamente 1,0%.</t>
  </si>
  <si>
    <t xml:space="preserve">• Boletos recebidos em 24/07 coincidem exatamente: R$ 130.929,08.</t>
  </si>
  <si>
    <t xml:space="preserve">• O faturamento informado soma R$ 201.460,52; as emissões do ERP somam R$ 202.260,52, diferença de R$ 800,00.</t>
  </si>
  <si>
    <t xml:space="preserve">A carteira ajustada está 1,0% acima do relatório manual. Revisar os R$ 8.106,77 remanescentes por documento e condição de cobrança.</t>
  </si>
  <si>
    <t xml:space="preserve">• O total previsto de entradas entre 28/07 e 03/08 informado é R$ 521.056,86.</t>
  </si>
  <si>
    <t xml:space="preserve">• Antes de decisão de cobrança, validar as pequenas divergências aritméticas e os campos sem valor.</t>
  </si>
  <si>
    <t xml:space="preserve">RESUMO MENSAL</t>
  </si>
  <si>
    <t xml:space="preserve">Competência pela data de emissão; valores importados da base consolidada.</t>
  </si>
  <si>
    <t xml:space="preserve">Mês</t>
  </si>
  <si>
    <t xml:space="preserve">Receber Original</t>
  </si>
  <si>
    <t xml:space="preserve">Pagar Original</t>
  </si>
  <si>
    <t xml:space="preserve">Resultado Original</t>
  </si>
  <si>
    <t xml:space="preserve">Receber Liquidado</t>
  </si>
  <si>
    <t xml:space="preserve">Pagar Liquidado</t>
  </si>
  <si>
    <t xml:space="preserve">Caixa Líquido</t>
  </si>
  <si>
    <t xml:space="preserve">Saldo Aberto Líquido</t>
  </si>
  <si>
    <t xml:space="preserve">RESUMO ANUAL</t>
  </si>
  <si>
    <t xml:space="preserve">Comparativo 2024, 2025 e 2026 até 27/07/2026.</t>
  </si>
  <si>
    <t xml:space="preserve">Ano</t>
  </si>
  <si>
    <t xml:space="preserve">Receber Aberto</t>
  </si>
  <si>
    <t xml:space="preserve">Receber Vencido</t>
  </si>
  <si>
    <t xml:space="preserve">Registros</t>
  </si>
  <si>
    <t xml:space="preserve">TOTAL</t>
  </si>
  <si>
    <t xml:space="preserve">COMPARATIVO OPERACIONAL | 24/07/2026</t>
  </si>
  <si>
    <t xml:space="preserve">Informações gerenciais enviadas por Jorge versus dados dos arquivos consolidados.</t>
  </si>
  <si>
    <t xml:space="preserve">1. ENTRADAS E RECEBIMENTOS</t>
  </si>
  <si>
    <t xml:space="preserve">Indicador</t>
  </si>
  <si>
    <t xml:space="preserve">Informado</t>
  </si>
  <si>
    <t xml:space="preserve">Calculado / ERP</t>
  </si>
  <si>
    <t xml:space="preserve">Diferença</t>
  </si>
  <si>
    <t xml:space="preserve">Status</t>
  </si>
  <si>
    <t xml:space="preserve">Observação</t>
  </si>
  <si>
    <t xml:space="preserve">Para entrar</t>
  </si>
  <si>
    <t xml:space="preserve">Referência</t>
  </si>
  <si>
    <t xml:space="preserve">Meta/previsto informado.</t>
  </si>
  <si>
    <t xml:space="preserve">Boletos recebidos</t>
  </si>
  <si>
    <t xml:space="preserve">OK</t>
  </si>
  <si>
    <t xml:space="preserve">Valor coincide com as baixas ERP em 24/07.</t>
  </si>
  <si>
    <t xml:space="preserve">Depósitos / demais entradas</t>
  </si>
  <si>
    <t xml:space="preserve">Revisar</t>
  </si>
  <si>
    <t xml:space="preserve">ERP soma formas não classificadas como boleto.</t>
  </si>
  <si>
    <t xml:space="preserve">Total em conta — informado</t>
  </si>
  <si>
    <t xml:space="preserve">Divergência</t>
  </si>
  <si>
    <t xml:space="preserve">Boletos + depósitos informados somam R$ 152.307,70, diferença de R$ 0,05.</t>
  </si>
  <si>
    <t xml:space="preserve">Total recebido no ERP</t>
  </si>
  <si>
    <t xml:space="preserve">ERP</t>
  </si>
  <si>
    <t xml:space="preserve">Soma do campo Valor Baixado com Data de Baixa em 24/07.</t>
  </si>
  <si>
    <t xml:space="preserve">Gap para a previsão</t>
  </si>
  <si>
    <t xml:space="preserve">Previsto menos total calculado informado.</t>
  </si>
  <si>
    <t xml:space="preserve">Resgatado</t>
  </si>
  <si>
    <t xml:space="preserve">Mantido separadamente, sem regra de incorporação ao total.</t>
  </si>
  <si>
    <t xml:space="preserve">Ficou em atraso</t>
  </si>
  <si>
    <t xml:space="preserve">Indicador operacional informado.</t>
  </si>
  <si>
    <t xml:space="preserve">2. INADIMPLÊNCIA E RECONCILIAÇÃO DA CARTEIRA</t>
  </si>
  <si>
    <t xml:space="preserve">ERP / Calculado</t>
  </si>
  <si>
    <t xml:space="preserve">Saldo total de clientes devedores</t>
  </si>
  <si>
    <t xml:space="preserve">Bruto ERP</t>
  </si>
  <si>
    <t xml:space="preserve">Carteira aberta com vencimento até 24/07; inclui itens a excluir da inadimplência comercial.</t>
  </si>
  <si>
    <t xml:space="preserve">(-) Crédito de Adiantamento</t>
  </si>
  <si>
    <t xml:space="preserve">Ajuste</t>
  </si>
  <si>
    <t xml:space="preserve">Classificação contábil identificada na base.</t>
  </si>
  <si>
    <t xml:space="preserve">(-) Vendas à vista em aberto</t>
  </si>
  <si>
    <t xml:space="preserve">Forma de pagamento À Vista identificada na base.</t>
  </si>
  <si>
    <t xml:space="preserve">Carteira ERP ajustada</t>
  </si>
  <si>
    <t xml:space="preserve">Exclui Crédito de Adiantamento e À Vista; aproxima-se do total informado.</t>
  </si>
  <si>
    <t xml:space="preserve">MRV — informado</t>
  </si>
  <si>
    <t xml:space="preserve">R$ 1.911,60 em 61–90 dias e R$ 74.227,50 acima de 90 dias.</t>
  </si>
  <si>
    <t xml:space="preserve">Vanguarda — informado</t>
  </si>
  <si>
    <t xml:space="preserve">Integralmente acima de 90 dias.</t>
  </si>
  <si>
    <t xml:space="preserve">MRV + Vanguarda</t>
  </si>
  <si>
    <t xml:space="preserve">Validação</t>
  </si>
  <si>
    <t xml:space="preserve">Soma esperada: R$ 125.479,10.</t>
  </si>
  <si>
    <t xml:space="preserve">Inadimplência sem MRV/Vanguarda</t>
  </si>
  <si>
    <t xml:space="preserve">Cálculo informado confere.</t>
  </si>
  <si>
    <t xml:space="preserve">3. AGING INFORMADO</t>
  </si>
  <si>
    <t xml:space="preserve">Faixa</t>
  </si>
  <si>
    <t xml:space="preserve">Saldo Bruto</t>
  </si>
  <si>
    <t xml:space="preserve">Exclusões MRV/Vanguarda</t>
  </si>
  <si>
    <t xml:space="preserve">Saldo Líquido</t>
  </si>
  <si>
    <t xml:space="preserve">% do Total</t>
  </si>
  <si>
    <t xml:space="preserve">0 a 30 dias</t>
  </si>
  <si>
    <t xml:space="preserve">31 a 60 dias</t>
  </si>
  <si>
    <t xml:space="preserve">61 a 90 dias</t>
  </si>
  <si>
    <t xml:space="preserve">Mais de 90 dias</t>
  </si>
  <si>
    <t xml:space="preserve">TOTAL AGING</t>
  </si>
  <si>
    <t xml:space="preserve">A soma das faixas resulta em R$ 795.735,79, diferença de R$ 0,09 em relação ao total informado.</t>
  </si>
  <si>
    <t xml:space="preserve">4. FATURAMENTO DO DIA 24/07/2026</t>
  </si>
  <si>
    <t xml:space="preserve">Modalidade</t>
  </si>
  <si>
    <t xml:space="preserve">À vista Oficial</t>
  </si>
  <si>
    <t xml:space="preserve">Composição fecha exatamente.</t>
  </si>
  <si>
    <t xml:space="preserve">À vista NG</t>
  </si>
  <si>
    <t xml:space="preserve">À prazo</t>
  </si>
  <si>
    <t xml:space="preserve">Valor informado.</t>
  </si>
  <si>
    <t xml:space="preserve">Total faturamento informado</t>
  </si>
  <si>
    <t xml:space="preserve">Oficial + NG + prazo.</t>
  </si>
  <si>
    <t xml:space="preserve">Faturamento ERP — emissões 24/07</t>
  </si>
  <si>
    <t xml:space="preserve">Diferença de R$ 800,00 a conciliar.</t>
  </si>
  <si>
    <t xml:space="preserve">Oficial — Adiantamento</t>
  </si>
  <si>
    <t xml:space="preserve">Oficial — Cartão</t>
  </si>
  <si>
    <t xml:space="preserve">Oficial — Pix</t>
  </si>
  <si>
    <t xml:space="preserve">Oficial — Em rota</t>
  </si>
  <si>
    <t xml:space="preserve">NG — Espécie</t>
  </si>
  <si>
    <t xml:space="preserve">NG — Pix</t>
  </si>
  <si>
    <t xml:space="preserve">NG — Em rota</t>
  </si>
  <si>
    <t xml:space="preserve">5. PREVISÃO DE ENTRADAS</t>
  </si>
  <si>
    <t xml:space="preserve">Data</t>
  </si>
  <si>
    <t xml:space="preserve">ERP — saldo a vencer</t>
  </si>
  <si>
    <t xml:space="preserve">Interpretação do texto “46.94,62” como R$ 46.944,62.</t>
  </si>
  <si>
    <t xml:space="preserve">6. CAIXA REPASSADO AO WALTER</t>
  </si>
  <si>
    <t xml:space="preserve">Caixa Oficial — espécie</t>
  </si>
  <si>
    <t xml:space="preserve">Não informado</t>
  </si>
  <si>
    <t xml:space="preserve">Caixa NG — espécie</t>
  </si>
  <si>
    <t xml:space="preserve">Cheque pré</t>
  </si>
  <si>
    <t xml:space="preserve">PENDÊNCIAS DE VALIDAÇÃO</t>
  </si>
  <si>
    <t xml:space="preserve">1) Confirmar a diferença de R$ 0,05 no total em conta.</t>
  </si>
  <si>
    <t xml:space="preserve">2) Confirmar a diferença de R$ 0,09 entre o total de devedores e a soma do aging.</t>
  </si>
  <si>
    <t xml:space="preserve">3) Confirmar que “De 31 a 60 dias fica R$ 40.204,00” refere-se à faixa de 61 a 90 dias após retirar MRV.</t>
  </si>
  <si>
    <t xml:space="preserve">4) Confirmar se R$ 46.944,62 é o valor correto para 29/07.</t>
  </si>
  <si>
    <t xml:space="preserve">5) Informar valores em branco: espécie oficial, encontro de contas, cheque pré, descontos de pagamento e bonificações.</t>
  </si>
  <si>
    <t xml:space="preserve">INADIMPLÊNCIA | ERP E RECONCILIAÇÃO</t>
  </si>
  <si>
    <t xml:space="preserve">Carteira em aberto baseada no saldo estimado do arquivo; data de corte 27/07/2026.</t>
  </si>
  <si>
    <t xml:space="preserve">AGING ATUAL DA CARTEIRA A RECEBER</t>
  </si>
  <si>
    <t xml:space="preserve">Saldo</t>
  </si>
  <si>
    <t xml:space="preserve">% do Aberto</t>
  </si>
  <si>
    <t xml:space="preserve">Documentos</t>
  </si>
  <si>
    <t xml:space="preserve">A vencer</t>
  </si>
  <si>
    <t xml:space="preserve">1-30 dias</t>
  </si>
  <si>
    <t xml:space="preserve">31-60 dias</t>
  </si>
  <si>
    <t xml:space="preserve">61-90 dias</t>
  </si>
  <si>
    <t xml:space="preserve">91-180 dias</t>
  </si>
  <si>
    <t xml:space="preserve">Acima de 180 dias</t>
  </si>
  <si>
    <t xml:space="preserve">TOTAL EM ABERTO</t>
  </si>
  <si>
    <t xml:space="preserve">RECONCILIAÇÃO DO SNAPSHOT 24/07/2026</t>
  </si>
  <si>
    <t xml:space="preserve">Carteira técnica bruta — vencimento até 24/07</t>
  </si>
  <si>
    <t xml:space="preserve">(-) Forma de pagamento À Vista</t>
  </si>
  <si>
    <t xml:space="preserve">Saldo informado por Jorge</t>
  </si>
  <si>
    <t xml:space="preserve">TOP 20 DEVEDORES — SALDO EM ABERTO</t>
  </si>
  <si>
    <t xml:space="preserve">Cliente</t>
  </si>
  <si>
    <t xml:space="preserve">Saldo em Aberto</t>
  </si>
  <si>
    <t xml:space="preserve">Saldo Vencido</t>
  </si>
  <si>
    <t xml:space="preserve">% da Carteira</t>
  </si>
  <si>
    <t xml:space="preserve">F. A. Lima Extração de Areia - ME</t>
  </si>
  <si>
    <t xml:space="preserve">C. C. de Vasconcelos - EPP</t>
  </si>
  <si>
    <t xml:space="preserve">MRV Engenharia e Participaçoes SA</t>
  </si>
  <si>
    <t xml:space="preserve">Construtora e Imobiliária Triunfo Ltda ME...</t>
  </si>
  <si>
    <t xml:space="preserve">Construmoveis comercio de Moveis e Eletrodomesticos LTDA</t>
  </si>
  <si>
    <t xml:space="preserve">KALFIX Indústria, Comércio e Engenharia Ltda EPP</t>
  </si>
  <si>
    <t xml:space="preserve">GM Construções Ltda. ME</t>
  </si>
  <si>
    <t xml:space="preserve">Piaui Materiais de Construçoes LTDA</t>
  </si>
  <si>
    <t xml:space="preserve">TECNIKA CONSTRUCAO E SERVICO DE ENGENHARIA EIRELI</t>
  </si>
  <si>
    <t xml:space="preserve">M. T. Pereira Cunha Gomes - ME</t>
  </si>
  <si>
    <t xml:space="preserve">Vasconcelos e Mendes Ltda EPP</t>
  </si>
  <si>
    <t xml:space="preserve">Macedo Fortes Empreendimentos Ltda. EPP</t>
  </si>
  <si>
    <t xml:space="preserve">ENGIPEC - Comércio Ltda</t>
  </si>
  <si>
    <t xml:space="preserve">LB Comércio de Material de Construção Ltda EPP</t>
  </si>
  <si>
    <t xml:space="preserve">Deilany Michelle Costa Palmeira 0877705399</t>
  </si>
  <si>
    <t xml:space="preserve">A. C. FERREIRA DA CRUZ</t>
  </si>
  <si>
    <t xml:space="preserve">Piaui Materiais De Construções LTDA</t>
  </si>
  <si>
    <t xml:space="preserve">Vanguarda Engenharia Ltda.</t>
  </si>
  <si>
    <t xml:space="preserve">Jorge Guilherme Costa Ferreira 68618360368</t>
  </si>
  <si>
    <t xml:space="preserve">J. B. Pinto Neto Materiais e Construçoes</t>
  </si>
  <si>
    <t xml:space="preserve">PRINCIPAIS CONTRAPARTES</t>
  </si>
  <si>
    <t xml:space="preserve">Clientes devedores e fornecedores com contas em aberto.</t>
  </si>
  <si>
    <t xml:space="preserve">CLIENTES — TOP 30</t>
  </si>
  <si>
    <t xml:space="preserve">FORNECEDORES — TOP 30</t>
  </si>
  <si>
    <t xml:space="preserve">Fornecedor</t>
  </si>
  <si>
    <t xml:space="preserve">Banco do Brasil S/A</t>
  </si>
  <si>
    <t xml:space="preserve">Companhia Industrial de Cimento Apodi</t>
  </si>
  <si>
    <t xml:space="preserve">Poli-Gyn Embalagens Ltda.</t>
  </si>
  <si>
    <t xml:space="preserve">Cacique Petroleo LTDA</t>
  </si>
  <si>
    <t xml:space="preserve">Ministério da Fazenda</t>
  </si>
  <si>
    <t xml:space="preserve">F G INTELIGENCIA EM LOGISTICA LTDA</t>
  </si>
  <si>
    <t xml:space="preserve">Caixa Econômica Federal</t>
  </si>
  <si>
    <t xml:space="preserve">ADITEX DISTRIBUIDORA NORDESTE LTDA</t>
  </si>
  <si>
    <t xml:space="preserve">Salários e Ordenados de Funcionários - Filial</t>
  </si>
  <si>
    <t xml:space="preserve">FORNECEDORA CAMINHOES COMERCIO E SERVICOS LTDA</t>
  </si>
  <si>
    <t xml:space="preserve">RENOVAR INDUSTRIA E COMERCIO DE EMBALAGENS EIRELI</t>
  </si>
  <si>
    <t xml:space="preserve">Franklin Kalume Brigido</t>
  </si>
  <si>
    <t xml:space="preserve">MONACO DIESEL CAMINHOES, ONIBUS E TRATORES LTDA.</t>
  </si>
  <si>
    <t xml:space="preserve">TARCISIO FELIPE V. DE SOUSA EIRELI</t>
  </si>
  <si>
    <t xml:space="preserve">GLOBAL TREND INDUSTRIA E COMERCIO EXTERIOR LTDA</t>
  </si>
  <si>
    <t xml:space="preserve">SKAL Engenharia, Indústria e Comércio Ltda</t>
  </si>
  <si>
    <t xml:space="preserve">Flavia Equipamentos</t>
  </si>
  <si>
    <t xml:space="preserve">Fenix Rh Service</t>
  </si>
  <si>
    <t xml:space="preserve">PRUDENTIAL BRADESCO SEGUROS S/A</t>
  </si>
  <si>
    <t xml:space="preserve">J. A. dos Reis Sousa - EPP</t>
  </si>
  <si>
    <t xml:space="preserve">RENAULT DO BRASIL S.A</t>
  </si>
  <si>
    <t xml:space="preserve">Canopus Construções Ltda.</t>
  </si>
  <si>
    <t xml:space="preserve">RANDON ADMINISTRADORA DE CONSORCIOS LTDA</t>
  </si>
  <si>
    <t xml:space="preserve">Canopus Construções Teresina Ltda.</t>
  </si>
  <si>
    <t xml:space="preserve">E &amp; P SOARES DOS SANTOS LTDA</t>
  </si>
  <si>
    <t xml:space="preserve">Rozana da S. P. Barbosa - ME</t>
  </si>
  <si>
    <t xml:space="preserve">Prefeitura Municipal de Teresina</t>
  </si>
  <si>
    <t xml:space="preserve">R M Gomes Filho</t>
  </si>
  <si>
    <t xml:space="preserve">DESPESAS DIVERSAS</t>
  </si>
  <si>
    <t xml:space="preserve">C B F  da Silva Engenharia Ltda</t>
  </si>
  <si>
    <t xml:space="preserve">Banco do Nordeste do Brasil SA</t>
  </si>
  <si>
    <t xml:space="preserve">Engecopi Comércio de Materiais de Construção Ltda</t>
  </si>
  <si>
    <t xml:space="preserve">ACO CEARENSE INDUSTRIAL LTDA</t>
  </si>
  <si>
    <t xml:space="preserve">Oliveira Materiais de Construcoes, Perf. e Vest. LTDA</t>
  </si>
  <si>
    <t xml:space="preserve">Predial Administradora de Condomínio Ltda</t>
  </si>
  <si>
    <t xml:space="preserve">Engecopi Comércio de Materiais de Construção Ltda.</t>
  </si>
  <si>
    <t xml:space="preserve">G R DE MORAES CONSTRUCOES</t>
  </si>
  <si>
    <t xml:space="preserve">ENGIPEC - COMERCIO LTDA </t>
  </si>
  <si>
    <t xml:space="preserve">RESIQ - INDUSTRIA E COMERCIO DE RESINAS LTDA</t>
  </si>
  <si>
    <t xml:space="preserve">CENTROS DE CUSTO | CONTAS A PAGAR</t>
  </si>
  <si>
    <t xml:space="preserve">Ranking por valor original no período principal.</t>
  </si>
  <si>
    <t xml:space="preserve">Centro de Custo</t>
  </si>
  <si>
    <t xml:space="preserve">Descrição</t>
  </si>
  <si>
    <t xml:space="preserve">Valor Original</t>
  </si>
  <si>
    <t xml:space="preserve">Valor Liquidado</t>
  </si>
  <si>
    <t xml:space="preserve">Saldo Aberto</t>
  </si>
  <si>
    <t xml:space="preserve">02.009</t>
  </si>
  <si>
    <t xml:space="preserve">Produção MATÉRIA-PRIMA</t>
  </si>
  <si>
    <t xml:space="preserve">01.002</t>
  </si>
  <si>
    <t xml:space="preserve">Administrativo</t>
  </si>
  <si>
    <t xml:space="preserve">01.005</t>
  </si>
  <si>
    <t xml:space="preserve">Financeiro</t>
  </si>
  <si>
    <t xml:space="preserve">01.004.010.0010</t>
  </si>
  <si>
    <t xml:space="preserve">Demais Gastos e/ou Despesas de Pessoal</t>
  </si>
  <si>
    <t xml:space="preserve">02.001</t>
  </si>
  <si>
    <t xml:space="preserve">Produção SKAL</t>
  </si>
  <si>
    <t xml:space="preserve">07.002</t>
  </si>
  <si>
    <t xml:space="preserve">SKAL Filial</t>
  </si>
  <si>
    <t xml:space="preserve">02.003</t>
  </si>
  <si>
    <t xml:space="preserve">Produção EMBALAGENS</t>
  </si>
  <si>
    <t xml:space="preserve">02.006</t>
  </si>
  <si>
    <t xml:space="preserve">Produção FORNO</t>
  </si>
  <si>
    <t xml:space="preserve">01.001</t>
  </si>
  <si>
    <t xml:space="preserve">Diretoria</t>
  </si>
  <si>
    <t xml:space="preserve">03.006</t>
  </si>
  <si>
    <t xml:space="preserve">Despesa c/ Viagens</t>
  </si>
  <si>
    <t xml:space="preserve">01.004.001.0003</t>
  </si>
  <si>
    <t xml:space="preserve">Remunerações/Encargos - COMERCIAL</t>
  </si>
  <si>
    <t xml:space="preserve">03.005</t>
  </si>
  <si>
    <t xml:space="preserve">Rateio Comercial</t>
  </si>
  <si>
    <t xml:space="preserve">10.002</t>
  </si>
  <si>
    <t xml:space="preserve">(INATIVA) Fábrica Parnaíba - CONSTRUÇÃO</t>
  </si>
  <si>
    <t xml:space="preserve">01.999</t>
  </si>
  <si>
    <t xml:space="preserve">Administrativo Geral Outros</t>
  </si>
  <si>
    <t xml:space="preserve">10.001</t>
  </si>
  <si>
    <t xml:space="preserve">Fábrica Parnaíba - Distrito Industrial</t>
  </si>
  <si>
    <t xml:space="preserve">01.004</t>
  </si>
  <si>
    <t xml:space="preserve">SETOR PESSOAL</t>
  </si>
  <si>
    <t xml:space="preserve">03.004</t>
  </si>
  <si>
    <t xml:space="preserve">Transportes fretados (USAR APENAS PARA CARROS FRETADOS)</t>
  </si>
  <si>
    <t xml:space="preserve">05.001</t>
  </si>
  <si>
    <t xml:space="preserve">Kalfix</t>
  </si>
  <si>
    <t xml:space="preserve">06.003.031</t>
  </si>
  <si>
    <t xml:space="preserve">PLACA SW4 DSL 4X4 SRX</t>
  </si>
  <si>
    <t xml:space="preserve">05.007</t>
  </si>
  <si>
    <t xml:space="preserve">Químika</t>
  </si>
  <si>
    <t xml:space="preserve">09.005</t>
  </si>
  <si>
    <t xml:space="preserve">Produção - Fábrica de Tintas</t>
  </si>
  <si>
    <t xml:space="preserve">01.001.000</t>
  </si>
  <si>
    <t xml:space="preserve">OBRAS </t>
  </si>
  <si>
    <t xml:space="preserve">01.005.005.0007</t>
  </si>
  <si>
    <t xml:space="preserve">Consórcio BB Caminhão</t>
  </si>
  <si>
    <t xml:space="preserve">06.003.003</t>
  </si>
  <si>
    <t xml:space="preserve">PLACA QRY1A48  - VW 30.280 BITRUCK VERMELHO</t>
  </si>
  <si>
    <t xml:space="preserve">06.003.019</t>
  </si>
  <si>
    <t xml:space="preserve">PLACA SLN-1E99 VW/30.330 CRC 8X2</t>
  </si>
  <si>
    <t xml:space="preserve">06.003.017</t>
  </si>
  <si>
    <t xml:space="preserve">PLACA QRX7A27  VW 30.330.CRC 8X2</t>
  </si>
  <si>
    <t xml:space="preserve">01.004.001.0004</t>
  </si>
  <si>
    <t xml:space="preserve">Remunerações/Encargos - ADMINISTRATIVO</t>
  </si>
  <si>
    <t xml:space="preserve">07.000</t>
  </si>
  <si>
    <t xml:space="preserve">ALMOXARIFADO </t>
  </si>
  <si>
    <t xml:space="preserve">01.004.001.0001</t>
  </si>
  <si>
    <t xml:space="preserve">Remunerações/Encargos - MOD</t>
  </si>
  <si>
    <t xml:space="preserve">06.003</t>
  </si>
  <si>
    <t xml:space="preserve">VEÍCULOS E MÁQUINAS RODANTES (PEÇAS, MANUT.  COMBUSTIVEIS) </t>
  </si>
  <si>
    <t xml:space="preserve">06.003.023</t>
  </si>
  <si>
    <t xml:space="preserve">PLACA SLQ7I94 / CAVALO MECANICO  VW 28480 / METTEOR </t>
  </si>
  <si>
    <t xml:space="preserve">06.003.025</t>
  </si>
  <si>
    <t xml:space="preserve">PLACA RSJ5B03 - DAF VINHO CF 7L FAC</t>
  </si>
  <si>
    <t xml:space="preserve">02.004</t>
  </si>
  <si>
    <t xml:space="preserve">Produção MANUTENÇÃO</t>
  </si>
  <si>
    <t xml:space="preserve">02.005</t>
  </si>
  <si>
    <t xml:space="preserve">Produção ENCHEDEIRA</t>
  </si>
  <si>
    <t xml:space="preserve">03.003</t>
  </si>
  <si>
    <t xml:space="preserve">Marketing</t>
  </si>
  <si>
    <t xml:space="preserve">06.003.022</t>
  </si>
  <si>
    <t xml:space="preserve">PLACA SLQ9I38 - DAF BITRUCK - CARROCERIA ABERTA.</t>
  </si>
  <si>
    <t xml:space="preserve">10.003</t>
  </si>
  <si>
    <t xml:space="preserve">Fábrica NORTECOR</t>
  </si>
  <si>
    <t xml:space="preserve">09.001</t>
  </si>
  <si>
    <t xml:space="preserve">Construção e Instalações - Fábrica de Tintas</t>
  </si>
  <si>
    <t xml:space="preserve">10</t>
  </si>
  <si>
    <t xml:space="preserve">FÁBRICA PARNAÍBA</t>
  </si>
  <si>
    <t xml:space="preserve">06.003.007</t>
  </si>
  <si>
    <t xml:space="preserve">PLACA BYA-8469 MERCEDEZ-BENZ /710</t>
  </si>
  <si>
    <t xml:space="preserve">06.003.006</t>
  </si>
  <si>
    <t xml:space="preserve">PLACA NIX0841</t>
  </si>
  <si>
    <t xml:space="preserve">06.003.026</t>
  </si>
  <si>
    <t xml:space="preserve">PLACA RSJ3G04 - VW 17.210 CRM 4X2 BRANCO</t>
  </si>
  <si>
    <t xml:space="preserve">01.004.004.0001</t>
  </si>
  <si>
    <t xml:space="preserve">Férias e Encargos - MOD</t>
  </si>
  <si>
    <t xml:space="preserve">02.012</t>
  </si>
  <si>
    <t xml:space="preserve">Produção EPI</t>
  </si>
  <si>
    <t xml:space="preserve">01.004.004.0002</t>
  </si>
  <si>
    <t xml:space="preserve">Férias e Encargos - MOI</t>
  </si>
  <si>
    <t xml:space="preserve">06.003.016</t>
  </si>
  <si>
    <t xml:space="preserve">PLACA IAF-0432 SR/GUERRA AG GR</t>
  </si>
  <si>
    <t xml:space="preserve">01.004.004.0003</t>
  </si>
  <si>
    <t xml:space="preserve">Férias e Encargos - COMERCIAL</t>
  </si>
  <si>
    <t xml:space="preserve">01.004.004.0004</t>
  </si>
  <si>
    <t xml:space="preserve">Férias e Encargos - ADMINISTRATIVO</t>
  </si>
  <si>
    <t xml:space="preserve">01.001.002</t>
  </si>
  <si>
    <t xml:space="preserve">Sítio Chakal II</t>
  </si>
  <si>
    <t xml:space="preserve">02.008</t>
  </si>
  <si>
    <t xml:space="preserve">Produção EMPILHADEIRAS</t>
  </si>
  <si>
    <t xml:space="preserve">06.003.005</t>
  </si>
  <si>
    <t xml:space="preserve">PLACA LWL7997</t>
  </si>
  <si>
    <t xml:space="preserve">04.001</t>
  </si>
  <si>
    <t xml:space="preserve">Outros</t>
  </si>
  <si>
    <t xml:space="preserve">01.003</t>
  </si>
  <si>
    <t xml:space="preserve">Informática</t>
  </si>
  <si>
    <t xml:space="preserve">06.003.015</t>
  </si>
  <si>
    <t xml:space="preserve">PLACA OVW-7A56 FIAT/STRADA WORKING</t>
  </si>
  <si>
    <t xml:space="preserve">09.002</t>
  </si>
  <si>
    <t xml:space="preserve">Maquinas e Equipamentos - Fábrica de Tintas</t>
  </si>
  <si>
    <t xml:space="preserve">02.010</t>
  </si>
  <si>
    <t xml:space="preserve">Produção DRAGA</t>
  </si>
  <si>
    <t xml:space="preserve">06.003.008</t>
  </si>
  <si>
    <t xml:space="preserve">PLACA NIA-9669 IVECO/DAILY 55C16 CS</t>
  </si>
  <si>
    <t xml:space="preserve">06.002</t>
  </si>
  <si>
    <t xml:space="preserve">BENS PATRIMONIAIS</t>
  </si>
  <si>
    <t xml:space="preserve">06.003.018</t>
  </si>
  <si>
    <t xml:space="preserve">PLACA LWC-0492 VW15.170</t>
  </si>
  <si>
    <t xml:space="preserve">06.003.009</t>
  </si>
  <si>
    <t xml:space="preserve">PLACA NIG-5724 GM/CELTA 2P LIFE</t>
  </si>
  <si>
    <t xml:space="preserve">06.003.024</t>
  </si>
  <si>
    <t xml:space="preserve">PLACA  SLQ9I38 / DAF BITRUCK / CARROCERIA ABERTA.</t>
  </si>
  <si>
    <t xml:space="preserve">01.004.001.0002</t>
  </si>
  <si>
    <t xml:space="preserve">Remunerações/Encargos - MOI</t>
  </si>
  <si>
    <t xml:space="preserve">06.003.010</t>
  </si>
  <si>
    <t xml:space="preserve">PLACA QRW-7333 RENAULT/KWID ZEN 10MT</t>
  </si>
  <si>
    <t xml:space="preserve">06.001.001</t>
  </si>
  <si>
    <t xml:space="preserve">IMÓVEIS PARA RENDA</t>
  </si>
  <si>
    <t xml:space="preserve">01.004.010.0001</t>
  </si>
  <si>
    <t xml:space="preserve">Benefícios e Convênios do Pessoal</t>
  </si>
  <si>
    <t xml:space="preserve">03.001</t>
  </si>
  <si>
    <t xml:space="preserve">Atendimento ao Cliente</t>
  </si>
  <si>
    <t xml:space="preserve">01.002.002</t>
  </si>
  <si>
    <t xml:space="preserve">SLQ9I38</t>
  </si>
  <si>
    <t xml:space="preserve">02.008.003</t>
  </si>
  <si>
    <t xml:space="preserve">Empilhadeira TOYOTA 89</t>
  </si>
  <si>
    <t xml:space="preserve">01.001.003</t>
  </si>
  <si>
    <t xml:space="preserve">Náutico Marina Solarium</t>
  </si>
  <si>
    <t xml:space="preserve">03.003.003</t>
  </si>
  <si>
    <t xml:space="preserve">SLQ7I94</t>
  </si>
  <si>
    <t xml:space="preserve">06.003.013</t>
  </si>
  <si>
    <t xml:space="preserve">PLACA QRW-8673 JEEP/COMPASS LIMITED D DR. FRANKLIN</t>
  </si>
  <si>
    <t xml:space="preserve">03.000</t>
  </si>
  <si>
    <t xml:space="preserve">VW/30.330 - CONSTELATION / SLN1E99</t>
  </si>
  <si>
    <t xml:space="preserve">06.003.004</t>
  </si>
  <si>
    <t xml:space="preserve">PLACA OVY7737 - CARRETA M.BENZ ACTROS 2655 LS 6X4</t>
  </si>
  <si>
    <t xml:space="preserve">01.002.001.0002</t>
  </si>
  <si>
    <t xml:space="preserve">Telefonia Móvel</t>
  </si>
  <si>
    <t xml:space="preserve">07.002.001</t>
  </si>
  <si>
    <t xml:space="preserve">AMPLIAÇÃO DAS INSTALAÇÕES DA FÁBRICA</t>
  </si>
  <si>
    <t xml:space="preserve">06.003.027</t>
  </si>
  <si>
    <t xml:space="preserve">PLACA QRW7333 - KWID ZEN</t>
  </si>
  <si>
    <t xml:space="preserve">02.002.000</t>
  </si>
  <si>
    <t xml:space="preserve">CONTROLE TECNOLOGICO</t>
  </si>
  <si>
    <t xml:space="preserve">05.001.004</t>
  </si>
  <si>
    <t xml:space="preserve">Kalfix - Obras Gesso Acartonado</t>
  </si>
  <si>
    <t xml:space="preserve">06.003.014</t>
  </si>
  <si>
    <t xml:space="preserve">PLACA NIW-8300 FIAT/DOBLO ADV 1.8 FLEX</t>
  </si>
  <si>
    <t xml:space="preserve">QUALIDADE DOS DADOS E CONTROLES</t>
  </si>
  <si>
    <t xml:space="preserve">Pontos que afetam a leitura gerencial e a conciliação.</t>
  </si>
  <si>
    <t xml:space="preserve">Controle</t>
  </si>
  <si>
    <t xml:space="preserve">Valor</t>
  </si>
  <si>
    <t xml:space="preserve">Comentário</t>
  </si>
  <si>
    <t xml:space="preserve">Registros totais consolidados</t>
  </si>
  <si>
    <t xml:space="preserve">Base completa</t>
  </si>
  <si>
    <t xml:space="preserve">Inclui lançamentos fora do período principal.</t>
  </si>
  <si>
    <t xml:space="preserve">Registros no período principal</t>
  </si>
  <si>
    <t xml:space="preserve">01/01/2024 a 27/07/2026</t>
  </si>
  <si>
    <t xml:space="preserve">Filtro usado no dashboard executivo.</t>
  </si>
  <si>
    <t xml:space="preserve">Registros anteriores a 2024</t>
  </si>
  <si>
    <t xml:space="preserve">Histórico</t>
  </si>
  <si>
    <t xml:space="preserve">Atenção</t>
  </si>
  <si>
    <t xml:space="preserve">Mantidos na base para auditoria.</t>
  </si>
  <si>
    <t xml:space="preserve">Emissões futuras após 27/07/2026</t>
  </si>
  <si>
    <t xml:space="preserve">Data de emissão</t>
  </si>
  <si>
    <t xml:space="preserve">Devem ser revisadas antes de análises por competência.</t>
  </si>
  <si>
    <t xml:space="preserve">Movimento 2024 (1).XLSX</t>
  </si>
  <si>
    <t xml:space="preserve">Arquivo fonte</t>
  </si>
  <si>
    <t xml:space="preserve">Predominantemente registros de 2024.</t>
  </si>
  <si>
    <t xml:space="preserve">Movimento 2024 (2).XLSX</t>
  </si>
  <si>
    <t xml:space="preserve">Apesar do nome, contém majoritariamente registros de 2025.</t>
  </si>
  <si>
    <t xml:space="preserve">Movimento 2026.XLSX</t>
  </si>
  <si>
    <t xml:space="preserve">Contém registros de 2026 e saldos carregados de anos anteriores.</t>
  </si>
  <si>
    <t xml:space="preserve">Diferença no total em conta informado</t>
  </si>
  <si>
    <t xml:space="preserve">Resumo manual</t>
  </si>
  <si>
    <t xml:space="preserve">R$ 130.929,08 + R$ 21.378,62 = R$ 152.307,70, não R$ 152.307,65.</t>
  </si>
  <si>
    <t xml:space="preserve">Diferença no total do aging informado</t>
  </si>
  <si>
    <t xml:space="preserve">A soma das quatro faixas é R$ 795.735,79 versus total de R$ 795.735,88.</t>
  </si>
  <si>
    <t xml:space="preserve">Diferença faturamento manual x ERP</t>
  </si>
  <si>
    <t xml:space="preserve">24/07/2026</t>
  </si>
  <si>
    <t xml:space="preserve">Emissões ERP superam o faturamento informado em R$ 800,00.</t>
  </si>
  <si>
    <t xml:space="preserve">METODOLOGIA E PREMISSAS</t>
  </si>
  <si>
    <t xml:space="preserve">Leitura obrigatória antes de usar os saldos para decisão financeira.</t>
  </si>
  <si>
    <t xml:space="preserve">Fonte principal</t>
  </si>
  <si>
    <t xml:space="preserve">Três arquivos Excel enviados: Movimento 2024 (1), Movimento 2024 (2) e Movimento 2026, tratados em base consolidada separada.</t>
  </si>
  <si>
    <t xml:space="preserve">Período principal</t>
  </si>
  <si>
    <t xml:space="preserve">Emissões entre 01/01/2024 e 27/07/2026. Registros anteriores e futuros permanecem na base de auditoria, mas não entram nos KPIs principais.</t>
  </si>
  <si>
    <t xml:space="preserve">Natureza</t>
  </si>
  <si>
    <t xml:space="preserve">Contas a Receber e Contas a Pagar conforme classificação derivada do relatório do ERP.</t>
  </si>
  <si>
    <t xml:space="preserve">Valor liquidado / compensado</t>
  </si>
  <si>
    <t xml:space="preserve">Soma de valor baixado, descontos, devoluções, adiantamentos, retenções, perdas e deduções existentes no arquivo.</t>
  </si>
  <si>
    <t xml:space="preserve">Saldo aberto estimado</t>
  </si>
  <si>
    <t xml:space="preserve">Valor original menos liquidações/compensações, limitado pelas regras de cancelamento e status. É um indicador gerencial e não substitui conciliação bancária/contábil.</t>
  </si>
  <si>
    <t xml:space="preserve">Inadimplência atual</t>
  </si>
  <si>
    <t xml:space="preserve">Saldo aberto de contas a receber marcadas como vencidas na data de corte de 27/07/2026.</t>
  </si>
  <si>
    <t xml:space="preserve">Reconciliação 24/07</t>
  </si>
  <si>
    <t xml:space="preserve">Para aproximar o relatório manual, foi apurada a carteira com vencimento até 24/07, excluindo Crédito de Adiantamento e forma de pagamento À Vista.</t>
  </si>
  <si>
    <t xml:space="preserve">Valores digitados por Jorge foram preservados como entradas manuais em azul. Divergências aritméticas foram mantidas e sinalizadas, sem alterar a informação original.</t>
  </si>
  <si>
    <t xml:space="preserve">29/07</t>
  </si>
  <si>
    <t xml:space="preserve">O texto “R$ 46.94,62” foi interpretado como R$ 46.944,62. Deve ser confirmado.</t>
  </si>
  <si>
    <t xml:space="preserve">Faixa 61–90 dias</t>
  </si>
  <si>
    <t xml:space="preserve">A frase “De 31 a 60 dias fica R$ 40.204,00” foi tratada como saldo da faixa 61–90 após retirar R$ 1.911,60 da MRV, pois a conta fecha exatamente.</t>
  </si>
  <si>
    <t xml:space="preserve">Base auditável</t>
  </si>
  <si>
    <t xml:space="preserve">A base consolidada completa permanece no arquivo CSV separado para rastreamento de arquivo e linha de origem.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</si>
</sst>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.0,,&quot; mi&quot;"/>
    <numFmt numFmtId="167" formatCode="mmm/AAAA"/>
    <numFmt numFmtId="168" formatCode="&quot;R$ &quot;#,##0.00;[RED]&quot;(R$ &quot;#,##0.00\);\-"/>
    <numFmt numFmtId="169" formatCode="0"/>
    <numFmt numFmtId="170" formatCode="#,##0;[RED]\(#,##0\);\-"/>
    <numFmt numFmtId="171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i val="true"/>
      <sz val="10"/>
      <color rgb="FFD1D5DB"/>
      <name val="Cambria"/>
      <family val="0"/>
      <charset val="1"/>
    </font>
    <font>
      <b val="true"/>
      <sz val="11"/>
      <color rgb="FFD4AF37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C65911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00A86B"/>
      <name val="Cambria"/>
      <family val="0"/>
      <charset val="1"/>
    </font>
    <font>
      <i val="true"/>
      <sz val="11"/>
      <color rgb="FFC65911"/>
      <name val="Cambria"/>
      <family val="0"/>
      <charset val="1"/>
    </font>
    <font>
      <sz val="11"/>
      <color rgb="FFC65911"/>
      <name val="Cambria"/>
      <family val="0"/>
      <charset val="1"/>
    </font>
    <font>
      <sz val="11"/>
      <color rgb="FFDC2626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111827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11827"/>
        <bgColor rgb="FF1F2937"/>
      </patternFill>
    </fill>
    <fill>
      <patternFill patternType="solid">
        <fgColor rgb="FF00A86B"/>
        <bgColor rgb="FF008080"/>
      </patternFill>
    </fill>
    <fill>
      <patternFill patternType="solid">
        <fgColor rgb="FF1F2937"/>
        <bgColor rgb="FF111827"/>
      </patternFill>
    </fill>
    <fill>
      <patternFill patternType="solid">
        <fgColor rgb="FFD4AF37"/>
        <bgColor rgb="FFF59E0B"/>
      </patternFill>
    </fill>
    <fill>
      <patternFill patternType="solid">
        <fgColor rgb="FF0F766E"/>
        <bgColor rgb="FF008080"/>
      </patternFill>
    </fill>
    <fill>
      <patternFill patternType="solid">
        <fgColor rgb="FF2563EB"/>
        <bgColor rgb="FF0066CC"/>
      </patternFill>
    </fill>
    <fill>
      <patternFill patternType="solid">
        <fgColor rgb="FFDC2626"/>
        <bgColor rgb="FF993300"/>
      </patternFill>
    </fill>
    <fill>
      <patternFill patternType="solid">
        <fgColor rgb="FFF59E0B"/>
        <bgColor rgb="FFD4AF37"/>
      </patternFill>
    </fill>
    <fill>
      <patternFill patternType="solid">
        <fgColor rgb="FF7C3AED"/>
        <bgColor rgb="FF993366"/>
      </patternFill>
    </fill>
    <fill>
      <patternFill patternType="solid">
        <fgColor rgb="FFFEF3C7"/>
        <bgColor rgb="FFFEE2E2"/>
      </patternFill>
    </fill>
    <fill>
      <patternFill patternType="solid">
        <fgColor rgb="FFF9FAFB"/>
        <bgColor rgb="FFF9F9F9"/>
      </patternFill>
    </fill>
    <fill>
      <patternFill patternType="solid">
        <fgColor rgb="FFECFDF5"/>
        <bgColor rgb="FFF9FAFB"/>
      </patternFill>
    </fill>
    <fill>
      <patternFill patternType="solid">
        <fgColor rgb="FFFEE2E2"/>
        <bgColor rgb="FFFEF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827"/>
      </bottom>
      <diagonal/>
    </border>
    <border diagonalUp="false" diagonalDown="false">
      <left/>
      <right/>
      <top style="medium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D9D9D9"/>
      <rgbColor rgb="FF878787"/>
      <rgbColor rgb="FF9999FF"/>
      <rgbColor rgb="FF7C3AED"/>
      <rgbColor rgb="FFFEF3C7"/>
      <rgbColor rgb="FFECFD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AFB"/>
      <rgbColor rgb="FFF9F9F9"/>
      <rgbColor rgb="FFFFFF99"/>
      <rgbColor rgb="FF99CCFF"/>
      <rgbColor rgb="FFFF99CC"/>
      <rgbColor rgb="FFCC99FF"/>
      <rgbColor rgb="FFFEE2E2"/>
      <rgbColor rgb="FF2563EB"/>
      <rgbColor rgb="FF33CCCC"/>
      <rgbColor rgb="FF99CC00"/>
      <rgbColor rgb="FFD4AF37"/>
      <rgbColor rgb="FFF59E0B"/>
      <rgbColor rgb="FFC65911"/>
      <rgbColor rgb="FF666666"/>
      <rgbColor rgb="FF969696"/>
      <rgbColor rgb="FF003366"/>
      <rgbColor rgb="FF00A86B"/>
      <rgbColor rgb="FF111827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Evolução mensal — valores originais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'Resumo Mensal'!B4</c:f>
              <c:strCache>
                <c:ptCount val="1"/>
                <c:pt idx="0">
                  <c:v>Receber Original</c:v>
                </c:pt>
              </c:strCache>
            </c:strRef>
          </c:tx>
          <c:spPr>
            <a:solidFill>
              <a:srgbClr val="00a86b"/>
            </a:solidFill>
            <a:ln w="21960">
              <a:solidFill>
                <a:srgbClr val="00a8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Mensal'!$A$5:$A$35</c:f>
              <c:strCache>
                <c:ptCount val="31"/>
                <c:pt idx="0">
                  <c:v>Tevet/Monday</c:v>
                </c:pt>
                <c:pt idx="1">
                  <c:v>Shevat/Thursday</c:v>
                </c:pt>
                <c:pt idx="2">
                  <c:v>Adar/Friday</c:v>
                </c:pt>
                <c:pt idx="3">
                  <c:v>Adar B/Monday</c:v>
                </c:pt>
                <c:pt idx="4">
                  <c:v>Nissan/Wednesday</c:v>
                </c:pt>
                <c:pt idx="5">
                  <c:v>Iyar/Shabbat</c:v>
                </c:pt>
                <c:pt idx="6">
                  <c:v>Sivan/Monday</c:v>
                </c:pt>
                <c:pt idx="7">
                  <c:v>Tammuz/Thursday</c:v>
                </c:pt>
                <c:pt idx="8">
                  <c:v>Av/Sunday</c:v>
                </c:pt>
                <c:pt idx="9">
                  <c:v>Elul/Tuesday</c:v>
                </c:pt>
                <c:pt idx="10">
                  <c:v>Tishri/Friday</c:v>
                </c:pt>
                <c:pt idx="11">
                  <c:v>Heshvan/Sunday</c:v>
                </c:pt>
                <c:pt idx="12">
                  <c:v>Tevet/Wednesday</c:v>
                </c:pt>
                <c:pt idx="13">
                  <c:v>Shevat/Shabbat</c:v>
                </c:pt>
                <c:pt idx="14">
                  <c:v>Adar/Shabbat</c:v>
                </c:pt>
                <c:pt idx="15">
                  <c:v>Nissan/Tuesday</c:v>
                </c:pt>
                <c:pt idx="16">
                  <c:v>Iyar/Thursday</c:v>
                </c:pt>
                <c:pt idx="17">
                  <c:v>Sivan/Sunday</c:v>
                </c:pt>
                <c:pt idx="18">
                  <c:v>Tammuz/Tuesday</c:v>
                </c:pt>
                <c:pt idx="19">
                  <c:v>Av/Friday</c:v>
                </c:pt>
                <c:pt idx="20">
                  <c:v>Elul/Monday</c:v>
                </c:pt>
                <c:pt idx="21">
                  <c:v>Tishri/Wednesday</c:v>
                </c:pt>
                <c:pt idx="22">
                  <c:v>Heshvan/Shabbat</c:v>
                </c:pt>
                <c:pt idx="23">
                  <c:v>Kislev/Monday</c:v>
                </c:pt>
                <c:pt idx="24">
                  <c:v>Tevet/Thursday</c:v>
                </c:pt>
                <c:pt idx="25">
                  <c:v>Shevat/Sunday</c:v>
                </c:pt>
                <c:pt idx="26">
                  <c:v>Adar/Sunday</c:v>
                </c:pt>
                <c:pt idx="27">
                  <c:v>Nissan/Wednesday</c:v>
                </c:pt>
                <c:pt idx="28">
                  <c:v>Iyar/Friday</c:v>
                </c:pt>
                <c:pt idx="29">
                  <c:v>Sivan/Monday</c:v>
                </c:pt>
                <c:pt idx="30">
                  <c:v>Tammuz/Wednesday</c:v>
                </c:pt>
              </c:strCache>
            </c:strRef>
          </c:cat>
          <c:val>
            <c:numRef>
              <c:f>'Resumo Mensal'!$B$5:$B$35</c:f>
              <c:numCache>
                <c:formatCode>"R$ "#,##0.00;[RED]"(R$ "#,##0.00\);\-</c:formatCode>
                <c:ptCount val="31"/>
                <c:pt idx="0">
                  <c:v>2966236.65</c:v>
                </c:pt>
                <c:pt idx="1">
                  <c:v>2526073.69</c:v>
                </c:pt>
                <c:pt idx="2">
                  <c:v>2304647.32</c:v>
                </c:pt>
                <c:pt idx="3">
                  <c:v>2865817.87</c:v>
                </c:pt>
                <c:pt idx="4">
                  <c:v>2821478.59</c:v>
                </c:pt>
                <c:pt idx="5">
                  <c:v>3133621.69</c:v>
                </c:pt>
                <c:pt idx="6">
                  <c:v>4518105.16</c:v>
                </c:pt>
                <c:pt idx="7">
                  <c:v>3396193.75</c:v>
                </c:pt>
                <c:pt idx="8">
                  <c:v>3155845.49</c:v>
                </c:pt>
                <c:pt idx="9">
                  <c:v>3725991.25</c:v>
                </c:pt>
                <c:pt idx="10">
                  <c:v>3017458.95</c:v>
                </c:pt>
                <c:pt idx="11">
                  <c:v>2715578.41</c:v>
                </c:pt>
                <c:pt idx="12">
                  <c:v>3289893.8</c:v>
                </c:pt>
                <c:pt idx="13">
                  <c:v>4036111.39</c:v>
                </c:pt>
                <c:pt idx="14">
                  <c:v>2933685.6</c:v>
                </c:pt>
                <c:pt idx="15">
                  <c:v>2992240.5</c:v>
                </c:pt>
                <c:pt idx="16">
                  <c:v>3247797.27</c:v>
                </c:pt>
                <c:pt idx="17">
                  <c:v>3120097.71</c:v>
                </c:pt>
                <c:pt idx="18">
                  <c:v>3734432.88</c:v>
                </c:pt>
                <c:pt idx="19">
                  <c:v>3282218.22</c:v>
                </c:pt>
                <c:pt idx="20">
                  <c:v>3933335.32</c:v>
                </c:pt>
                <c:pt idx="21">
                  <c:v>4558322.83</c:v>
                </c:pt>
                <c:pt idx="22">
                  <c:v>3211191.39</c:v>
                </c:pt>
                <c:pt idx="23">
                  <c:v>2699920.8</c:v>
                </c:pt>
                <c:pt idx="24">
                  <c:v>3349126.18</c:v>
                </c:pt>
                <c:pt idx="25">
                  <c:v>2840327.32</c:v>
                </c:pt>
                <c:pt idx="26">
                  <c:v>3963725.38</c:v>
                </c:pt>
                <c:pt idx="27">
                  <c:v>2899476.8</c:v>
                </c:pt>
                <c:pt idx="28">
                  <c:v>3001362.35</c:v>
                </c:pt>
                <c:pt idx="29">
                  <c:v>3633568.82</c:v>
                </c:pt>
                <c:pt idx="30">
                  <c:v>3009967.76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'Resumo Mensal'!C4</c:f>
              <c:strCache>
                <c:ptCount val="1"/>
                <c:pt idx="0">
                  <c:v>Pagar Original</c:v>
                </c:pt>
              </c:strCache>
            </c:strRef>
          </c:tx>
          <c:spPr>
            <a:solidFill>
              <a:srgbClr val="dc2626"/>
            </a:solidFill>
            <a:ln w="21960">
              <a:solidFill>
                <a:srgbClr val="dc262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Mensal'!$A$5:$A$35</c:f>
              <c:strCache>
                <c:ptCount val="31"/>
                <c:pt idx="0">
                  <c:v>Tevet/Monday</c:v>
                </c:pt>
                <c:pt idx="1">
                  <c:v>Shevat/Thursday</c:v>
                </c:pt>
                <c:pt idx="2">
                  <c:v>Adar/Friday</c:v>
                </c:pt>
                <c:pt idx="3">
                  <c:v>Adar B/Monday</c:v>
                </c:pt>
                <c:pt idx="4">
                  <c:v>Nissan/Wednesday</c:v>
                </c:pt>
                <c:pt idx="5">
                  <c:v>Iyar/Shabbat</c:v>
                </c:pt>
                <c:pt idx="6">
                  <c:v>Sivan/Monday</c:v>
                </c:pt>
                <c:pt idx="7">
                  <c:v>Tammuz/Thursday</c:v>
                </c:pt>
                <c:pt idx="8">
                  <c:v>Av/Sunday</c:v>
                </c:pt>
                <c:pt idx="9">
                  <c:v>Elul/Tuesday</c:v>
                </c:pt>
                <c:pt idx="10">
                  <c:v>Tishri/Friday</c:v>
                </c:pt>
                <c:pt idx="11">
                  <c:v>Heshvan/Sunday</c:v>
                </c:pt>
                <c:pt idx="12">
                  <c:v>Tevet/Wednesday</c:v>
                </c:pt>
                <c:pt idx="13">
                  <c:v>Shevat/Shabbat</c:v>
                </c:pt>
                <c:pt idx="14">
                  <c:v>Adar/Shabbat</c:v>
                </c:pt>
                <c:pt idx="15">
                  <c:v>Nissan/Tuesday</c:v>
                </c:pt>
                <c:pt idx="16">
                  <c:v>Iyar/Thursday</c:v>
                </c:pt>
                <c:pt idx="17">
                  <c:v>Sivan/Sunday</c:v>
                </c:pt>
                <c:pt idx="18">
                  <c:v>Tammuz/Tuesday</c:v>
                </c:pt>
                <c:pt idx="19">
                  <c:v>Av/Friday</c:v>
                </c:pt>
                <c:pt idx="20">
                  <c:v>Elul/Monday</c:v>
                </c:pt>
                <c:pt idx="21">
                  <c:v>Tishri/Wednesday</c:v>
                </c:pt>
                <c:pt idx="22">
                  <c:v>Heshvan/Shabbat</c:v>
                </c:pt>
                <c:pt idx="23">
                  <c:v>Kislev/Monday</c:v>
                </c:pt>
                <c:pt idx="24">
                  <c:v>Tevet/Thursday</c:v>
                </c:pt>
                <c:pt idx="25">
                  <c:v>Shevat/Sunday</c:v>
                </c:pt>
                <c:pt idx="26">
                  <c:v>Adar/Sunday</c:v>
                </c:pt>
                <c:pt idx="27">
                  <c:v>Nissan/Wednesday</c:v>
                </c:pt>
                <c:pt idx="28">
                  <c:v>Iyar/Friday</c:v>
                </c:pt>
                <c:pt idx="29">
                  <c:v>Sivan/Monday</c:v>
                </c:pt>
                <c:pt idx="30">
                  <c:v>Tammuz/Wednesday</c:v>
                </c:pt>
              </c:strCache>
            </c:strRef>
          </c:cat>
          <c:val>
            <c:numRef>
              <c:f>'Resumo Mensal'!$C$5:$C$35</c:f>
              <c:numCache>
                <c:formatCode>"R$ "#,##0.00;[RED]"(R$ "#,##0.00\);\-</c:formatCode>
                <c:ptCount val="31"/>
                <c:pt idx="0">
                  <c:v>2653604.24</c:v>
                </c:pt>
                <c:pt idx="1">
                  <c:v>3093197.93</c:v>
                </c:pt>
                <c:pt idx="2">
                  <c:v>3522959.13</c:v>
                </c:pt>
                <c:pt idx="3">
                  <c:v>2850627.06</c:v>
                </c:pt>
                <c:pt idx="4">
                  <c:v>2606944.86</c:v>
                </c:pt>
                <c:pt idx="5">
                  <c:v>2621236.27</c:v>
                </c:pt>
                <c:pt idx="6">
                  <c:v>3558482.05</c:v>
                </c:pt>
                <c:pt idx="7">
                  <c:v>3394527.67</c:v>
                </c:pt>
                <c:pt idx="8">
                  <c:v>3304826.14</c:v>
                </c:pt>
                <c:pt idx="9">
                  <c:v>3096717.64</c:v>
                </c:pt>
                <c:pt idx="10">
                  <c:v>2974221.64</c:v>
                </c:pt>
                <c:pt idx="11">
                  <c:v>2264561.77</c:v>
                </c:pt>
                <c:pt idx="12">
                  <c:v>3391341.96</c:v>
                </c:pt>
                <c:pt idx="13">
                  <c:v>3461273.95</c:v>
                </c:pt>
                <c:pt idx="14">
                  <c:v>3177041.91</c:v>
                </c:pt>
                <c:pt idx="15">
                  <c:v>3565730.91</c:v>
                </c:pt>
                <c:pt idx="16">
                  <c:v>2796069.15</c:v>
                </c:pt>
                <c:pt idx="17">
                  <c:v>2159774.12</c:v>
                </c:pt>
                <c:pt idx="18">
                  <c:v>3240292.64</c:v>
                </c:pt>
                <c:pt idx="19">
                  <c:v>2771739.26</c:v>
                </c:pt>
                <c:pt idx="20">
                  <c:v>3825578.56</c:v>
                </c:pt>
                <c:pt idx="21">
                  <c:v>3689419.96</c:v>
                </c:pt>
                <c:pt idx="22">
                  <c:v>2921248.67</c:v>
                </c:pt>
                <c:pt idx="23">
                  <c:v>3117172.86</c:v>
                </c:pt>
                <c:pt idx="24">
                  <c:v>2625255.11</c:v>
                </c:pt>
                <c:pt idx="25">
                  <c:v>2648584.68</c:v>
                </c:pt>
                <c:pt idx="26">
                  <c:v>3303765.36</c:v>
                </c:pt>
                <c:pt idx="27">
                  <c:v>3062269.96</c:v>
                </c:pt>
                <c:pt idx="28">
                  <c:v>2913877.12</c:v>
                </c:pt>
                <c:pt idx="29">
                  <c:v>3084057.29</c:v>
                </c:pt>
                <c:pt idx="30">
                  <c:v>2672477.83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398729"/>
        <c:axId val="55474561"/>
      </c:lineChart>
      <c:catAx>
        <c:axId val="503987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Competência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/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74561"/>
        <c:crosses val="autoZero"/>
        <c:auto val="1"/>
        <c:lblAlgn val="ctr"/>
        <c:lblOffset val="100"/>
        <c:noMultiLvlLbl val="0"/>
      </c:catAx>
      <c:valAx>
        <c:axId val="55474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&quot; mi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3987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Comparativo anual — receber x pagar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Anual'!B4</c:f>
              <c:strCache>
                <c:ptCount val="1"/>
                <c:pt idx="0">
                  <c:v>Receber Original</c:v>
                </c:pt>
              </c:strCache>
            </c:strRef>
          </c:tx>
          <c:spPr>
            <a:solidFill>
              <a:srgbClr val="00a8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Anual'!$A$5:$A$7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'Resumo Anual'!$B$5:$B$7</c:f>
              <c:numCache>
                <c:formatCode>"R$ "#,##0.00;[RED]"(R$ "#,##0.00\);\-</c:formatCode>
                <c:ptCount val="3"/>
                <c:pt idx="0">
                  <c:v>37147048.82</c:v>
                </c:pt>
                <c:pt idx="1">
                  <c:v>41039247.71</c:v>
                </c:pt>
                <c:pt idx="2">
                  <c:v>22697554.61</c:v>
                </c:pt>
              </c:numCache>
            </c:numRef>
          </c:val>
        </c:ser>
        <c:ser>
          <c:idx val="1"/>
          <c:order val="1"/>
          <c:tx>
            <c:strRef>
              <c:f>'Resumo Anual'!C4</c:f>
              <c:strCache>
                <c:ptCount val="1"/>
                <c:pt idx="0">
                  <c:v>Pagar Original</c:v>
                </c:pt>
              </c:strCache>
            </c:strRef>
          </c:tx>
          <c:spPr>
            <a:solidFill>
              <a:srgbClr val="dc262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Anual'!$A$5:$A$7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'Resumo Anual'!$C$5:$C$7</c:f>
              <c:numCache>
                <c:formatCode>"R$ "#,##0.00;[RED]"(R$ "#,##0.00\);\-</c:formatCode>
                <c:ptCount val="3"/>
                <c:pt idx="0">
                  <c:v>35941906.4</c:v>
                </c:pt>
                <c:pt idx="1">
                  <c:v>38116683.95</c:v>
                </c:pt>
                <c:pt idx="2">
                  <c:v>20310287.35</c:v>
                </c:pt>
              </c:numCache>
            </c:numRef>
          </c:val>
        </c:ser>
        <c:gapWidth val="150"/>
        <c:overlap val="0"/>
        <c:axId val="99577846"/>
        <c:axId val="5428903"/>
      </c:barChart>
      <c:catAx>
        <c:axId val="9957784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28903"/>
        <c:crosses val="autoZero"/>
        <c:auto val="1"/>
        <c:lblAlgn val="ctr"/>
        <c:lblOffset val="100"/>
        <c:noMultiLvlLbl val="0"/>
      </c:catAx>
      <c:valAx>
        <c:axId val="5428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&quot; mi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5778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Carteira a receber — faixa de atraso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'Inadimplência ERP'!B5</c:f>
              <c:strCache>
                <c:ptCount val="1"/>
                <c:pt idx="0">
                  <c:v>Saldo</c:v>
                </c:pt>
              </c:strCache>
            </c:strRef>
          </c:tx>
          <c:spPr>
            <a:solidFill>
              <a:srgbClr val="0f76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'Inadimplência ERP'!$A$6:$A$11</c:f>
              <c:strCache>
                <c:ptCount val="6"/>
                <c:pt idx="0">
                  <c:v>A vencer</c:v>
                </c:pt>
                <c:pt idx="1">
                  <c:v>1-30 dias</c:v>
                </c:pt>
                <c:pt idx="2">
                  <c:v>31-60 dias</c:v>
                </c:pt>
                <c:pt idx="3">
                  <c:v>61-90 dias</c:v>
                </c:pt>
                <c:pt idx="4">
                  <c:v>91-180 dias</c:v>
                </c:pt>
                <c:pt idx="5">
                  <c:v>Acima de 180 dias</c:v>
                </c:pt>
              </c:strCache>
            </c:strRef>
          </c:cat>
          <c:val>
            <c:numRef>
              <c:f>'Inadimplência ERP'!$B$6:$B$11</c:f>
              <c:numCache>
                <c:formatCode>"R$ "#,##0.00;[RED]"(R$ "#,##0.00\);\-</c:formatCode>
                <c:ptCount val="6"/>
                <c:pt idx="0">
                  <c:v>3533653.19</c:v>
                </c:pt>
                <c:pt idx="1">
                  <c:v>587076.81</c:v>
                </c:pt>
                <c:pt idx="2">
                  <c:v>117602.12</c:v>
                </c:pt>
                <c:pt idx="3">
                  <c:v>112082.57</c:v>
                </c:pt>
                <c:pt idx="4">
                  <c:v>216199.06</c:v>
                </c:pt>
                <c:pt idx="5">
                  <c:v>806085.5</c:v>
                </c:pt>
              </c:numCache>
            </c:numRef>
          </c:val>
        </c:ser>
        <c:gapWidth val="150"/>
        <c:overlap val="0"/>
        <c:axId val="5518067"/>
        <c:axId val="63175030"/>
      </c:barChart>
      <c:catAx>
        <c:axId val="551806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&quot; mi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175030"/>
        <c:crosses val="autoZero"/>
        <c:auto val="1"/>
        <c:lblAlgn val="ctr"/>
        <c:lblOffset val="100"/>
        <c:noMultiLvlLbl val="0"/>
      </c:catAx>
      <c:valAx>
        <c:axId val="63175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180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Top 10 devedores — saldo em aberto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'Inadimplência ERP'!B25</c:f>
              <c:strCache>
                <c:ptCount val="1"/>
                <c:pt idx="0">
                  <c:v>Saldo em Aberto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'Inadimplência ERP'!$A$26:$A$35</c:f>
              <c:strCache>
                <c:ptCount val="10"/>
                <c:pt idx="0">
                  <c:v>F. A. Lima Extração de Areia - ME</c:v>
                </c:pt>
                <c:pt idx="1">
                  <c:v>C. C. de Vasconcelos - EPP</c:v>
                </c:pt>
                <c:pt idx="2">
                  <c:v>MRV Engenharia e Participaçoes SA</c:v>
                </c:pt>
                <c:pt idx="3">
                  <c:v>Construtora e Imobiliária Triunfo Ltda ME...</c:v>
                </c:pt>
                <c:pt idx="4">
                  <c:v>Construmoveis comercio de Moveis e Eletrodomesticos LTDA</c:v>
                </c:pt>
                <c:pt idx="5">
                  <c:v>KALFIX Indústria, Comércio e Engenharia Ltda EPP</c:v>
                </c:pt>
                <c:pt idx="6">
                  <c:v>GM Construções Ltda. ME</c:v>
                </c:pt>
                <c:pt idx="7">
                  <c:v>Piaui Materiais de Construçoes LTDA</c:v>
                </c:pt>
                <c:pt idx="8">
                  <c:v>TECNIKA CONSTRUCAO E SERVICO DE ENGENHARIA EIRELI</c:v>
                </c:pt>
                <c:pt idx="9">
                  <c:v>M. T. Pereira Cunha Gomes - ME</c:v>
                </c:pt>
              </c:strCache>
            </c:strRef>
          </c:cat>
          <c:val>
            <c:numRef>
              <c:f>'Inadimplência ERP'!$B$26:$B$35</c:f>
              <c:numCache>
                <c:formatCode>"R$ "#,##0.00;[RED]"(R$ "#,##0.00\);\-</c:formatCode>
                <c:ptCount val="10"/>
                <c:pt idx="0">
                  <c:v>285281.55</c:v>
                </c:pt>
                <c:pt idx="1">
                  <c:v>193079.92</c:v>
                </c:pt>
                <c:pt idx="2">
                  <c:v>125153.1</c:v>
                </c:pt>
                <c:pt idx="3">
                  <c:v>113384.1</c:v>
                </c:pt>
                <c:pt idx="4">
                  <c:v>89404</c:v>
                </c:pt>
                <c:pt idx="5">
                  <c:v>78061.66</c:v>
                </c:pt>
                <c:pt idx="6">
                  <c:v>74282.73</c:v>
                </c:pt>
                <c:pt idx="7">
                  <c:v>68445.63</c:v>
                </c:pt>
                <c:pt idx="8">
                  <c:v>67040.04</c:v>
                </c:pt>
                <c:pt idx="9">
                  <c:v>62031.4</c:v>
                </c:pt>
              </c:numCache>
            </c:numRef>
          </c:val>
        </c:ser>
        <c:gapWidth val="150"/>
        <c:overlap val="0"/>
        <c:axId val="93495143"/>
        <c:axId val="96874851"/>
      </c:barChart>
      <c:catAx>
        <c:axId val="9349514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,&quot; mil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74851"/>
        <c:crosses val="autoZero"/>
        <c:auto val="1"/>
        <c:lblAlgn val="ctr"/>
        <c:lblOffset val="100"/>
        <c:noMultiLvlLbl val="0"/>
      </c:catAx>
      <c:valAx>
        <c:axId val="96874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;[RED]&quot;(R$ 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4951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4</xdr:col>
      <xdr:colOff>842040</xdr:colOff>
      <xdr:row>26</xdr:row>
      <xdr:rowOff>115200</xdr:rowOff>
    </xdr:to>
    <xdr:graphicFrame>
      <xdr:nvGraphicFramePr>
        <xdr:cNvPr id="0" name="Chart 1"/>
        <xdr:cNvGraphicFramePr/>
      </xdr:nvGraphicFramePr>
      <xdr:xfrm>
        <a:off x="0" y="274320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12</xdr:col>
      <xdr:colOff>270360</xdr:colOff>
      <xdr:row>26</xdr:row>
      <xdr:rowOff>115200</xdr:rowOff>
    </xdr:to>
    <xdr:graphicFrame>
      <xdr:nvGraphicFramePr>
        <xdr:cNvPr id="1" name="Chart 2"/>
        <xdr:cNvGraphicFramePr/>
      </xdr:nvGraphicFramePr>
      <xdr:xfrm>
        <a:off x="6766560" y="274320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4</xdr:col>
      <xdr:colOff>482040</xdr:colOff>
      <xdr:row>41</xdr:row>
      <xdr:rowOff>115200</xdr:rowOff>
    </xdr:to>
    <xdr:graphicFrame>
      <xdr:nvGraphicFramePr>
        <xdr:cNvPr id="2" name="Chart 3"/>
        <xdr:cNvGraphicFramePr/>
      </xdr:nvGraphicFramePr>
      <xdr:xfrm>
        <a:off x="0" y="5600880"/>
        <a:ext cx="44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12</xdr:col>
      <xdr:colOff>630360</xdr:colOff>
      <xdr:row>41</xdr:row>
      <xdr:rowOff>115200</xdr:rowOff>
    </xdr:to>
    <xdr:graphicFrame>
      <xdr:nvGraphicFramePr>
        <xdr:cNvPr id="3" name="Chart 4"/>
        <xdr:cNvGraphicFramePr/>
      </xdr:nvGraphicFramePr>
      <xdr:xfrm>
        <a:off x="6766560" y="5600880"/>
        <a:ext cx="48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"/>
    <col collapsed="false" customWidth="true" hidden="false" outlineLevel="0" max="5" min="4" style="0" width="18"/>
    <col collapsed="false" customWidth="true" hidden="false" outlineLevel="0" max="6" min="6" style="0" width="3"/>
    <col collapsed="false" customWidth="true" hidden="false" outlineLevel="0" max="8" min="7" style="0" width="18"/>
    <col collapsed="false" customWidth="true" hidden="false" outlineLevel="0" max="9" min="9" style="0" width="3"/>
    <col collapsed="false" customWidth="true" hidden="false" outlineLevel="0" max="11" min="10" style="0" width="18"/>
    <col collapsed="false" customWidth="true" hidden="false" outlineLevel="0" max="12" min="12" style="0" width="3"/>
    <col collapsed="false" customWidth="true" hidden="false" outlineLevel="0" max="14" min="13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J3" s="3" t="s">
        <v>2</v>
      </c>
      <c r="K3" s="4" t="n">
        <v>46230</v>
      </c>
      <c r="M3" s="3" t="s">
        <v>3</v>
      </c>
      <c r="N3" s="4" t="n">
        <v>46227</v>
      </c>
    </row>
    <row r="4" customFormat="false" ht="15" hidden="false" customHeight="true" outlineLevel="0" collapsed="false">
      <c r="A4" s="5" t="s">
        <v>4</v>
      </c>
      <c r="B4" s="5"/>
      <c r="D4" s="6" t="s">
        <v>5</v>
      </c>
      <c r="E4" s="6"/>
      <c r="G4" s="7" t="s">
        <v>6</v>
      </c>
      <c r="H4" s="7"/>
      <c r="J4" s="8" t="s">
        <v>7</v>
      </c>
      <c r="K4" s="8"/>
      <c r="M4" s="9" t="s">
        <v>8</v>
      </c>
      <c r="N4" s="9"/>
    </row>
    <row r="5" customFormat="false" ht="15" hidden="false" customHeight="false" outlineLevel="0" collapsed="false">
      <c r="A5" s="5"/>
      <c r="B5" s="5"/>
      <c r="D5" s="6"/>
      <c r="E5" s="6"/>
      <c r="G5" s="7"/>
      <c r="H5" s="7"/>
      <c r="J5" s="8"/>
      <c r="K5" s="8"/>
      <c r="M5" s="9"/>
      <c r="N5" s="9"/>
    </row>
    <row r="6" customFormat="false" ht="15" hidden="false" customHeight="false" outlineLevel="0" collapsed="false">
      <c r="A6" s="5"/>
      <c r="B6" s="5"/>
      <c r="D6" s="6"/>
      <c r="E6" s="6"/>
      <c r="G6" s="7"/>
      <c r="H6" s="7"/>
      <c r="J6" s="8"/>
      <c r="K6" s="8"/>
      <c r="M6" s="9"/>
      <c r="N6" s="9"/>
    </row>
    <row r="8" customFormat="false" ht="15" hidden="false" customHeight="true" outlineLevel="0" collapsed="false">
      <c r="A8" s="8" t="s">
        <v>9</v>
      </c>
      <c r="B8" s="8"/>
      <c r="D8" s="10" t="s">
        <v>10</v>
      </c>
      <c r="E8" s="10"/>
      <c r="G8" s="11" t="s">
        <v>11</v>
      </c>
      <c r="H8" s="11"/>
      <c r="J8" s="12" t="s">
        <v>12</v>
      </c>
      <c r="K8" s="12"/>
      <c r="M8" s="9" t="s">
        <v>13</v>
      </c>
      <c r="N8" s="9"/>
    </row>
    <row r="9" customFormat="false" ht="15" hidden="false" customHeight="false" outlineLevel="0" collapsed="false">
      <c r="A9" s="8"/>
      <c r="B9" s="8"/>
      <c r="D9" s="10"/>
      <c r="E9" s="10"/>
      <c r="G9" s="11"/>
      <c r="H9" s="11"/>
      <c r="J9" s="12"/>
      <c r="K9" s="12"/>
      <c r="M9" s="9"/>
      <c r="N9" s="9"/>
    </row>
    <row r="10" customFormat="false" ht="15" hidden="false" customHeight="false" outlineLevel="0" collapsed="false">
      <c r="A10" s="8"/>
      <c r="B10" s="8"/>
      <c r="D10" s="10"/>
      <c r="E10" s="10"/>
      <c r="G10" s="11"/>
      <c r="H10" s="11"/>
      <c r="J10" s="12"/>
      <c r="K10" s="12"/>
      <c r="M10" s="9"/>
      <c r="N10" s="9"/>
    </row>
    <row r="12" customFormat="false" ht="15" hidden="false" customHeight="false" outlineLevel="0" collapsed="false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44" customFormat="false" ht="15" hidden="false" customHeight="false" outlineLevel="0" collapsed="false">
      <c r="A44" s="14" t="s">
        <v>15</v>
      </c>
      <c r="B44" s="14"/>
      <c r="C44" s="14"/>
      <c r="D44" s="14"/>
      <c r="E44" s="14"/>
      <c r="F44" s="14"/>
      <c r="H44" s="14" t="s">
        <v>16</v>
      </c>
      <c r="I44" s="14"/>
      <c r="J44" s="14"/>
      <c r="K44" s="14"/>
      <c r="L44" s="14"/>
      <c r="M44" s="14"/>
      <c r="N44" s="14"/>
    </row>
    <row r="45" customFormat="false" ht="21.75" hidden="false" customHeight="true" outlineLevel="0" collapsed="false">
      <c r="A45" s="15" t="s">
        <v>17</v>
      </c>
      <c r="B45" s="15"/>
      <c r="C45" s="16" t="s">
        <v>18</v>
      </c>
      <c r="D45" s="16"/>
      <c r="E45" s="17" t="s">
        <v>19</v>
      </c>
      <c r="F45" s="17"/>
      <c r="H45" s="18" t="s">
        <v>20</v>
      </c>
      <c r="I45" s="18"/>
      <c r="J45" s="18"/>
      <c r="K45" s="18"/>
      <c r="L45" s="18"/>
      <c r="M45" s="18"/>
      <c r="N45" s="18"/>
    </row>
    <row r="46" customFormat="false" ht="21.75" hidden="false" customHeight="true" outlineLevel="0" collapsed="false">
      <c r="A46" s="15"/>
      <c r="B46" s="15"/>
      <c r="C46" s="16"/>
      <c r="D46" s="16"/>
      <c r="E46" s="17"/>
      <c r="F46" s="17"/>
      <c r="H46" s="18" t="s">
        <v>21</v>
      </c>
      <c r="I46" s="18"/>
      <c r="J46" s="18"/>
      <c r="K46" s="18"/>
      <c r="L46" s="18"/>
      <c r="M46" s="18"/>
      <c r="N46" s="18"/>
    </row>
    <row r="47" customFormat="false" ht="21.75" hidden="false" customHeight="true" outlineLevel="0" collapsed="false">
      <c r="H47" s="18" t="s">
        <v>22</v>
      </c>
      <c r="I47" s="18"/>
      <c r="J47" s="18"/>
      <c r="K47" s="18"/>
      <c r="L47" s="18"/>
      <c r="M47" s="18"/>
      <c r="N47" s="18"/>
    </row>
    <row r="48" customFormat="false" ht="21.75" hidden="false" customHeight="true" outlineLevel="0" collapsed="false">
      <c r="A48" s="19" t="s">
        <v>23</v>
      </c>
      <c r="B48" s="19"/>
      <c r="C48" s="19"/>
      <c r="D48" s="19"/>
      <c r="E48" s="19"/>
      <c r="F48" s="19"/>
      <c r="H48" s="18" t="s">
        <v>24</v>
      </c>
      <c r="I48" s="18"/>
      <c r="J48" s="18"/>
      <c r="K48" s="18"/>
      <c r="L48" s="18"/>
      <c r="M48" s="18"/>
      <c r="N48" s="18"/>
    </row>
    <row r="49" customFormat="false" ht="21.75" hidden="false" customHeight="true" outlineLevel="0" collapsed="false">
      <c r="A49" s="19"/>
      <c r="B49" s="19"/>
      <c r="C49" s="19"/>
      <c r="D49" s="19"/>
      <c r="E49" s="19"/>
      <c r="F49" s="19"/>
      <c r="H49" s="18" t="s">
        <v>25</v>
      </c>
      <c r="I49" s="18"/>
      <c r="J49" s="18"/>
      <c r="K49" s="18"/>
      <c r="L49" s="18"/>
      <c r="M49" s="18"/>
      <c r="N49" s="18"/>
    </row>
  </sheetData>
  <mergeCells count="24">
    <mergeCell ref="A1:N1"/>
    <mergeCell ref="A2:N2"/>
    <mergeCell ref="A4:B6"/>
    <mergeCell ref="D4:E6"/>
    <mergeCell ref="G4:H6"/>
    <mergeCell ref="J4:K6"/>
    <mergeCell ref="M4:N6"/>
    <mergeCell ref="A8:B10"/>
    <mergeCell ref="D8:E10"/>
    <mergeCell ref="G8:H10"/>
    <mergeCell ref="J8:K10"/>
    <mergeCell ref="M8:N10"/>
    <mergeCell ref="A12:N12"/>
    <mergeCell ref="A44:F44"/>
    <mergeCell ref="H44:N44"/>
    <mergeCell ref="A45:B46"/>
    <mergeCell ref="C45:D46"/>
    <mergeCell ref="E45:F46"/>
    <mergeCell ref="H45:N45"/>
    <mergeCell ref="H46:N46"/>
    <mergeCell ref="H47:N47"/>
    <mergeCell ref="A48:F49"/>
    <mergeCell ref="H48:N48"/>
    <mergeCell ref="H49:N49"/>
  </mergeCells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8" min="2" style="0" width="18"/>
  </cols>
  <sheetData>
    <row r="1" customFormat="false" ht="31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20" t="s">
        <v>28</v>
      </c>
      <c r="B4" s="20" t="s">
        <v>29</v>
      </c>
      <c r="C4" s="20" t="s">
        <v>30</v>
      </c>
      <c r="D4" s="20" t="s">
        <v>31</v>
      </c>
      <c r="E4" s="20" t="s">
        <v>32</v>
      </c>
      <c r="F4" s="20" t="s">
        <v>33</v>
      </c>
      <c r="G4" s="20" t="s">
        <v>34</v>
      </c>
      <c r="H4" s="20" t="s">
        <v>35</v>
      </c>
    </row>
    <row r="5" customFormat="false" ht="15" hidden="false" customHeight="false" outlineLevel="0" collapsed="false">
      <c r="A5" s="21" t="n">
        <v>45292</v>
      </c>
      <c r="B5" s="22" t="n">
        <v>2966236.65</v>
      </c>
      <c r="C5" s="22" t="n">
        <v>2653604.24</v>
      </c>
      <c r="D5" s="23" t="n">
        <f aca="false">B5-C5</f>
        <v>312632.41</v>
      </c>
      <c r="E5" s="22" t="n">
        <v>2827035.53</v>
      </c>
      <c r="F5" s="22" t="n">
        <v>2411301.29</v>
      </c>
      <c r="G5" s="23" t="n">
        <f aca="false">E5-F5</f>
        <v>415734.24</v>
      </c>
      <c r="H5" s="22" t="n">
        <v>1064.60000000001</v>
      </c>
    </row>
    <row r="6" customFormat="false" ht="15" hidden="false" customHeight="false" outlineLevel="0" collapsed="false">
      <c r="A6" s="24" t="n">
        <v>45323</v>
      </c>
      <c r="B6" s="25" t="n">
        <v>2526073.69</v>
      </c>
      <c r="C6" s="25" t="n">
        <v>3093197.93</v>
      </c>
      <c r="D6" s="26" t="n">
        <f aca="false">B6-C6</f>
        <v>-567124.24</v>
      </c>
      <c r="E6" s="25" t="n">
        <v>2391962.62</v>
      </c>
      <c r="F6" s="25" t="n">
        <v>2879924.77</v>
      </c>
      <c r="G6" s="26" t="n">
        <f aca="false">E6-F6</f>
        <v>-487962.15</v>
      </c>
      <c r="H6" s="25" t="n">
        <v>22405.51</v>
      </c>
    </row>
    <row r="7" customFormat="false" ht="15" hidden="false" customHeight="false" outlineLevel="0" collapsed="false">
      <c r="A7" s="21" t="n">
        <v>45352</v>
      </c>
      <c r="B7" s="22" t="n">
        <v>2304647.32</v>
      </c>
      <c r="C7" s="22" t="n">
        <v>3522959.13</v>
      </c>
      <c r="D7" s="23" t="n">
        <f aca="false">B7-C7</f>
        <v>-1218311.81</v>
      </c>
      <c r="E7" s="22" t="n">
        <v>2254670.56</v>
      </c>
      <c r="F7" s="22" t="n">
        <v>3326736.25</v>
      </c>
      <c r="G7" s="23" t="n">
        <f aca="false">E7-F7</f>
        <v>-1072065.69</v>
      </c>
      <c r="H7" s="22" t="n">
        <v>-8937.88</v>
      </c>
    </row>
    <row r="8" customFormat="false" ht="15" hidden="false" customHeight="false" outlineLevel="0" collapsed="false">
      <c r="A8" s="24" t="n">
        <v>45383</v>
      </c>
      <c r="B8" s="25" t="n">
        <v>2865817.87</v>
      </c>
      <c r="C8" s="25" t="n">
        <v>2850627.06</v>
      </c>
      <c r="D8" s="26" t="n">
        <f aca="false">B8-C8</f>
        <v>15190.8100000001</v>
      </c>
      <c r="E8" s="25" t="n">
        <v>2766436.3</v>
      </c>
      <c r="F8" s="25" t="n">
        <v>2616044.93</v>
      </c>
      <c r="G8" s="26" t="n">
        <f aca="false">E8-F8</f>
        <v>150391.37</v>
      </c>
      <c r="H8" s="25" t="n">
        <v>431.720000000001</v>
      </c>
    </row>
    <row r="9" customFormat="false" ht="15" hidden="false" customHeight="false" outlineLevel="0" collapsed="false">
      <c r="A9" s="21" t="n">
        <v>45413</v>
      </c>
      <c r="B9" s="22" t="n">
        <v>2821478.59</v>
      </c>
      <c r="C9" s="22" t="n">
        <v>2606944.86</v>
      </c>
      <c r="D9" s="23" t="n">
        <f aca="false">B9-C9</f>
        <v>214533.73</v>
      </c>
      <c r="E9" s="22" t="n">
        <v>2750138.1</v>
      </c>
      <c r="F9" s="22" t="n">
        <v>2434624.69</v>
      </c>
      <c r="G9" s="23" t="n">
        <f aca="false">E9-F9</f>
        <v>315513.41</v>
      </c>
      <c r="H9" s="22" t="n">
        <v>-1166.83</v>
      </c>
    </row>
    <row r="10" customFormat="false" ht="15" hidden="false" customHeight="false" outlineLevel="0" collapsed="false">
      <c r="A10" s="24" t="n">
        <v>45444</v>
      </c>
      <c r="B10" s="25" t="n">
        <v>3133621.69</v>
      </c>
      <c r="C10" s="25" t="n">
        <v>2621236.27</v>
      </c>
      <c r="D10" s="26" t="n">
        <f aca="false">B10-C10</f>
        <v>512385.42</v>
      </c>
      <c r="E10" s="25" t="n">
        <v>2951916.03</v>
      </c>
      <c r="F10" s="25" t="n">
        <v>2344758.27</v>
      </c>
      <c r="G10" s="26" t="n">
        <f aca="false">E10-F10</f>
        <v>607157.76</v>
      </c>
      <c r="H10" s="25" t="n">
        <v>-52064.71</v>
      </c>
    </row>
    <row r="11" customFormat="false" ht="15" hidden="false" customHeight="false" outlineLevel="0" collapsed="false">
      <c r="A11" s="21" t="n">
        <v>45474</v>
      </c>
      <c r="B11" s="22" t="n">
        <v>4518105.16</v>
      </c>
      <c r="C11" s="22" t="n">
        <v>3558482.05</v>
      </c>
      <c r="D11" s="23" t="n">
        <f aca="false">B11-C11</f>
        <v>959623.11</v>
      </c>
      <c r="E11" s="22" t="n">
        <v>4329941.58</v>
      </c>
      <c r="F11" s="22" t="n">
        <v>3314656.39</v>
      </c>
      <c r="G11" s="23" t="n">
        <f aca="false">E11-F11</f>
        <v>1015285.19</v>
      </c>
      <c r="H11" s="22" t="n">
        <v>40254.26</v>
      </c>
    </row>
    <row r="12" customFormat="false" ht="15" hidden="false" customHeight="false" outlineLevel="0" collapsed="false">
      <c r="A12" s="24" t="n">
        <v>45505</v>
      </c>
      <c r="B12" s="25" t="n">
        <v>3396193.75</v>
      </c>
      <c r="C12" s="25" t="n">
        <v>3394527.67</v>
      </c>
      <c r="D12" s="26" t="n">
        <f aca="false">B12-C12</f>
        <v>1666.08000000007</v>
      </c>
      <c r="E12" s="25" t="n">
        <v>3278189.08</v>
      </c>
      <c r="F12" s="25" t="n">
        <v>3206516.63</v>
      </c>
      <c r="G12" s="26" t="n">
        <f aca="false">E12-F12</f>
        <v>71672.4500000002</v>
      </c>
      <c r="H12" s="25" t="n">
        <v>15740.47</v>
      </c>
    </row>
    <row r="13" customFormat="false" ht="15" hidden="false" customHeight="false" outlineLevel="0" collapsed="false">
      <c r="A13" s="21" t="n">
        <v>45536</v>
      </c>
      <c r="B13" s="22" t="n">
        <v>3155845.49</v>
      </c>
      <c r="C13" s="22" t="n">
        <v>3304826.14</v>
      </c>
      <c r="D13" s="23" t="n">
        <f aca="false">B13-C13</f>
        <v>-148980.65</v>
      </c>
      <c r="E13" s="22" t="n">
        <v>3027395.5</v>
      </c>
      <c r="F13" s="22" t="n">
        <v>3119707.9</v>
      </c>
      <c r="G13" s="23" t="n">
        <f aca="false">E13-F13</f>
        <v>-92312.3999999999</v>
      </c>
      <c r="H13" s="22" t="n">
        <v>10747.31</v>
      </c>
    </row>
    <row r="14" customFormat="false" ht="15" hidden="false" customHeight="false" outlineLevel="0" collapsed="false">
      <c r="A14" s="24" t="n">
        <v>45566</v>
      </c>
      <c r="B14" s="25" t="n">
        <v>3725991.25</v>
      </c>
      <c r="C14" s="25" t="n">
        <v>3096717.64</v>
      </c>
      <c r="D14" s="26" t="n">
        <f aca="false">B14-C14</f>
        <v>629273.61</v>
      </c>
      <c r="E14" s="25" t="n">
        <v>3647692.76</v>
      </c>
      <c r="F14" s="25" t="n">
        <v>3045469.29</v>
      </c>
      <c r="G14" s="26" t="n">
        <f aca="false">E14-F14</f>
        <v>602223.47</v>
      </c>
      <c r="H14" s="25" t="n">
        <v>4978.63</v>
      </c>
    </row>
    <row r="15" customFormat="false" ht="15" hidden="false" customHeight="false" outlineLevel="0" collapsed="false">
      <c r="A15" s="21" t="n">
        <v>45597</v>
      </c>
      <c r="B15" s="22" t="n">
        <v>3017458.95</v>
      </c>
      <c r="C15" s="22" t="n">
        <v>2974221.64</v>
      </c>
      <c r="D15" s="23" t="n">
        <f aca="false">B15-C15</f>
        <v>43237.3100000001</v>
      </c>
      <c r="E15" s="22" t="n">
        <v>2972557.72</v>
      </c>
      <c r="F15" s="22" t="n">
        <v>2680194.01</v>
      </c>
      <c r="G15" s="23" t="n">
        <f aca="false">E15-F15</f>
        <v>292363.71</v>
      </c>
      <c r="H15" s="22" t="n">
        <v>8639.76</v>
      </c>
    </row>
    <row r="16" customFormat="false" ht="15" hidden="false" customHeight="false" outlineLevel="0" collapsed="false">
      <c r="A16" s="24" t="n">
        <v>45627</v>
      </c>
      <c r="B16" s="25" t="n">
        <v>2715578.41</v>
      </c>
      <c r="C16" s="25" t="n">
        <v>2264561.77</v>
      </c>
      <c r="D16" s="26" t="n">
        <f aca="false">B16-C16</f>
        <v>451016.64</v>
      </c>
      <c r="E16" s="25" t="n">
        <v>2623091.66</v>
      </c>
      <c r="F16" s="25" t="n">
        <v>2162146.19</v>
      </c>
      <c r="G16" s="26" t="n">
        <f aca="false">E16-F16</f>
        <v>460945.47</v>
      </c>
      <c r="H16" s="25" t="n">
        <v>-2609.16</v>
      </c>
    </row>
    <row r="17" customFormat="false" ht="15" hidden="false" customHeight="false" outlineLevel="0" collapsed="false">
      <c r="A17" s="21" t="n">
        <v>45658</v>
      </c>
      <c r="B17" s="22" t="n">
        <v>3289893.8</v>
      </c>
      <c r="C17" s="22" t="n">
        <v>3391341.96</v>
      </c>
      <c r="D17" s="23" t="n">
        <f aca="false">B17-C17</f>
        <v>-101448.16</v>
      </c>
      <c r="E17" s="22" t="n">
        <v>3155403.89</v>
      </c>
      <c r="F17" s="22" t="n">
        <v>3218568.77</v>
      </c>
      <c r="G17" s="23" t="n">
        <f aca="false">E17-F17</f>
        <v>-63164.8799999999</v>
      </c>
      <c r="H17" s="22" t="n">
        <v>-42795.2</v>
      </c>
    </row>
    <row r="18" customFormat="false" ht="15" hidden="false" customHeight="false" outlineLevel="0" collapsed="false">
      <c r="A18" s="24" t="n">
        <v>45689</v>
      </c>
      <c r="B18" s="25" t="n">
        <v>4036111.39</v>
      </c>
      <c r="C18" s="25" t="n">
        <v>3461273.95</v>
      </c>
      <c r="D18" s="26" t="n">
        <f aca="false">B18-C18</f>
        <v>574837.44</v>
      </c>
      <c r="E18" s="25" t="n">
        <v>3528163.18</v>
      </c>
      <c r="F18" s="25" t="n">
        <v>3396697.81</v>
      </c>
      <c r="G18" s="26" t="n">
        <f aca="false">E18-F18</f>
        <v>131465.37</v>
      </c>
      <c r="H18" s="25" t="n">
        <v>24584.34</v>
      </c>
    </row>
    <row r="19" customFormat="false" ht="15" hidden="false" customHeight="false" outlineLevel="0" collapsed="false">
      <c r="A19" s="21" t="n">
        <v>45717</v>
      </c>
      <c r="B19" s="22" t="n">
        <v>2933685.6</v>
      </c>
      <c r="C19" s="22" t="n">
        <v>3177041.91</v>
      </c>
      <c r="D19" s="23" t="n">
        <f aca="false">B19-C19</f>
        <v>-243356.31</v>
      </c>
      <c r="E19" s="22" t="n">
        <v>2831377.55</v>
      </c>
      <c r="F19" s="22" t="n">
        <v>3121939.47</v>
      </c>
      <c r="G19" s="23" t="n">
        <f aca="false">E19-F19</f>
        <v>-290561.92</v>
      </c>
      <c r="H19" s="22" t="n">
        <v>-16647.86</v>
      </c>
    </row>
    <row r="20" customFormat="false" ht="15" hidden="false" customHeight="false" outlineLevel="0" collapsed="false">
      <c r="A20" s="24" t="n">
        <v>45748</v>
      </c>
      <c r="B20" s="25" t="n">
        <v>2992240.5</v>
      </c>
      <c r="C20" s="25" t="n">
        <v>3565730.91</v>
      </c>
      <c r="D20" s="26" t="n">
        <f aca="false">B20-C20</f>
        <v>-573490.41</v>
      </c>
      <c r="E20" s="25" t="n">
        <v>2957514.11</v>
      </c>
      <c r="F20" s="25" t="n">
        <v>3218076.19</v>
      </c>
      <c r="G20" s="26" t="n">
        <f aca="false">E20-F20</f>
        <v>-260562.08</v>
      </c>
      <c r="H20" s="25" t="n">
        <v>-235517.22</v>
      </c>
    </row>
    <row r="21" customFormat="false" ht="15" hidden="false" customHeight="false" outlineLevel="0" collapsed="false">
      <c r="A21" s="21" t="n">
        <v>45778</v>
      </c>
      <c r="B21" s="22" t="n">
        <v>3247797.27</v>
      </c>
      <c r="C21" s="22" t="n">
        <v>2796069.15</v>
      </c>
      <c r="D21" s="23" t="n">
        <f aca="false">B21-C21</f>
        <v>451728.12</v>
      </c>
      <c r="E21" s="22" t="n">
        <v>3121779.23</v>
      </c>
      <c r="F21" s="22" t="n">
        <v>2606200.08</v>
      </c>
      <c r="G21" s="23" t="n">
        <f aca="false">E21-F21</f>
        <v>515579.15</v>
      </c>
      <c r="H21" s="22" t="n">
        <v>-48216.2</v>
      </c>
    </row>
    <row r="22" customFormat="false" ht="15" hidden="false" customHeight="false" outlineLevel="0" collapsed="false">
      <c r="A22" s="24" t="n">
        <v>45809</v>
      </c>
      <c r="B22" s="25" t="n">
        <v>3120097.71</v>
      </c>
      <c r="C22" s="25" t="n">
        <v>2159774.12</v>
      </c>
      <c r="D22" s="26" t="n">
        <f aca="false">B22-C22</f>
        <v>960323.59</v>
      </c>
      <c r="E22" s="25" t="n">
        <v>3056902.96</v>
      </c>
      <c r="F22" s="25" t="n">
        <v>2008988.26</v>
      </c>
      <c r="G22" s="26" t="n">
        <f aca="false">E22-F22</f>
        <v>1047914.7</v>
      </c>
      <c r="H22" s="25" t="n">
        <v>-16689.44</v>
      </c>
    </row>
    <row r="23" customFormat="false" ht="15" hidden="false" customHeight="false" outlineLevel="0" collapsed="false">
      <c r="A23" s="21" t="n">
        <v>45839</v>
      </c>
      <c r="B23" s="22" t="n">
        <v>3734432.88</v>
      </c>
      <c r="C23" s="22" t="n">
        <v>3240292.64</v>
      </c>
      <c r="D23" s="23" t="n">
        <f aca="false">B23-C23</f>
        <v>494140.24</v>
      </c>
      <c r="E23" s="22" t="n">
        <v>3586613.59</v>
      </c>
      <c r="F23" s="22" t="n">
        <v>3061831.13</v>
      </c>
      <c r="G23" s="23" t="n">
        <f aca="false">E23-F23</f>
        <v>524782.46</v>
      </c>
      <c r="H23" s="22" t="n">
        <v>52720.14</v>
      </c>
    </row>
    <row r="24" customFormat="false" ht="15" hidden="false" customHeight="false" outlineLevel="0" collapsed="false">
      <c r="A24" s="24" t="n">
        <v>45870</v>
      </c>
      <c r="B24" s="25" t="n">
        <v>3282218.22</v>
      </c>
      <c r="C24" s="25" t="n">
        <v>2771739.26</v>
      </c>
      <c r="D24" s="26" t="n">
        <f aca="false">B24-C24</f>
        <v>510478.96</v>
      </c>
      <c r="E24" s="25" t="n">
        <v>3185498.72</v>
      </c>
      <c r="F24" s="25" t="n">
        <v>2600008.32</v>
      </c>
      <c r="G24" s="26" t="n">
        <f aca="false">E24-F24</f>
        <v>585490.4</v>
      </c>
      <c r="H24" s="25" t="n">
        <v>61277.16</v>
      </c>
    </row>
    <row r="25" customFormat="false" ht="15" hidden="false" customHeight="false" outlineLevel="0" collapsed="false">
      <c r="A25" s="21" t="n">
        <v>45901</v>
      </c>
      <c r="B25" s="22" t="n">
        <v>3933335.32</v>
      </c>
      <c r="C25" s="22" t="n">
        <v>3825578.56</v>
      </c>
      <c r="D25" s="23" t="n">
        <f aca="false">B25-C25</f>
        <v>107756.76</v>
      </c>
      <c r="E25" s="22" t="n">
        <v>3756083.5</v>
      </c>
      <c r="F25" s="22" t="n">
        <v>3558289.06</v>
      </c>
      <c r="G25" s="23" t="n">
        <f aca="false">E25-F25</f>
        <v>197794.44</v>
      </c>
      <c r="H25" s="22" t="n">
        <v>-6122.55</v>
      </c>
    </row>
    <row r="26" customFormat="false" ht="15" hidden="false" customHeight="false" outlineLevel="0" collapsed="false">
      <c r="A26" s="24" t="n">
        <v>45931</v>
      </c>
      <c r="B26" s="25" t="n">
        <v>4558322.83</v>
      </c>
      <c r="C26" s="25" t="n">
        <v>3689419.96</v>
      </c>
      <c r="D26" s="26" t="n">
        <f aca="false">B26-C26</f>
        <v>868902.87</v>
      </c>
      <c r="E26" s="25" t="n">
        <v>4447474.02</v>
      </c>
      <c r="F26" s="25" t="n">
        <v>3493545.74</v>
      </c>
      <c r="G26" s="26" t="n">
        <f aca="false">E26-F26</f>
        <v>953928.279999999</v>
      </c>
      <c r="H26" s="25" t="n">
        <v>28140.63</v>
      </c>
    </row>
    <row r="27" customFormat="false" ht="15" hidden="false" customHeight="false" outlineLevel="0" collapsed="false">
      <c r="A27" s="21" t="n">
        <v>45962</v>
      </c>
      <c r="B27" s="22" t="n">
        <v>3211191.39</v>
      </c>
      <c r="C27" s="22" t="n">
        <v>2921248.67</v>
      </c>
      <c r="D27" s="23" t="n">
        <f aca="false">B27-C27</f>
        <v>289942.72</v>
      </c>
      <c r="E27" s="22" t="n">
        <v>3092317.53</v>
      </c>
      <c r="F27" s="22" t="n">
        <v>2834582.23</v>
      </c>
      <c r="G27" s="23" t="n">
        <f aca="false">E27-F27</f>
        <v>257735.3</v>
      </c>
      <c r="H27" s="22" t="n">
        <v>31966.4</v>
      </c>
    </row>
    <row r="28" customFormat="false" ht="15" hidden="false" customHeight="false" outlineLevel="0" collapsed="false">
      <c r="A28" s="24" t="n">
        <v>45992</v>
      </c>
      <c r="B28" s="25" t="n">
        <v>2699920.8</v>
      </c>
      <c r="C28" s="25" t="n">
        <v>3117172.86</v>
      </c>
      <c r="D28" s="26" t="n">
        <f aca="false">B28-C28</f>
        <v>-417252.06</v>
      </c>
      <c r="E28" s="25" t="n">
        <v>2565770.84</v>
      </c>
      <c r="F28" s="25" t="n">
        <v>2825068.89</v>
      </c>
      <c r="G28" s="26" t="n">
        <f aca="false">E28-F28</f>
        <v>-259298.05</v>
      </c>
      <c r="H28" s="25" t="n">
        <v>-56530.37</v>
      </c>
    </row>
    <row r="29" customFormat="false" ht="15" hidden="false" customHeight="false" outlineLevel="0" collapsed="false">
      <c r="A29" s="21" t="n">
        <v>46023</v>
      </c>
      <c r="B29" s="22" t="n">
        <v>3349126.18</v>
      </c>
      <c r="C29" s="22" t="n">
        <v>2625255.11</v>
      </c>
      <c r="D29" s="23" t="n">
        <f aca="false">B29-C29</f>
        <v>723871.07</v>
      </c>
      <c r="E29" s="22" t="n">
        <v>3265862.15</v>
      </c>
      <c r="F29" s="22" t="n">
        <v>2411317.94</v>
      </c>
      <c r="G29" s="23" t="n">
        <f aca="false">E29-F29</f>
        <v>854544.21</v>
      </c>
      <c r="H29" s="22" t="n">
        <v>-35526.34</v>
      </c>
    </row>
    <row r="30" customFormat="false" ht="15" hidden="false" customHeight="false" outlineLevel="0" collapsed="false">
      <c r="A30" s="24" t="n">
        <v>46054</v>
      </c>
      <c r="B30" s="25" t="n">
        <v>2840327.32</v>
      </c>
      <c r="C30" s="25" t="n">
        <v>2648584.68</v>
      </c>
      <c r="D30" s="26" t="n">
        <f aca="false">B30-C30</f>
        <v>191742.64</v>
      </c>
      <c r="E30" s="25" t="n">
        <v>2828973.04</v>
      </c>
      <c r="F30" s="25" t="n">
        <v>2482025.03</v>
      </c>
      <c r="G30" s="26" t="n">
        <f aca="false">E30-F30</f>
        <v>346948.01</v>
      </c>
      <c r="H30" s="25" t="n">
        <v>25519.22</v>
      </c>
    </row>
    <row r="31" customFormat="false" ht="15" hidden="false" customHeight="false" outlineLevel="0" collapsed="false">
      <c r="A31" s="21" t="n">
        <v>46082</v>
      </c>
      <c r="B31" s="22" t="n">
        <v>3963725.38</v>
      </c>
      <c r="C31" s="22" t="n">
        <v>3303765.36</v>
      </c>
      <c r="D31" s="23" t="n">
        <f aca="false">B31-C31</f>
        <v>659960.02</v>
      </c>
      <c r="E31" s="22" t="n">
        <v>3710088.94</v>
      </c>
      <c r="F31" s="22" t="n">
        <v>3093984.42</v>
      </c>
      <c r="G31" s="23" t="n">
        <f aca="false">E31-F31</f>
        <v>616104.52</v>
      </c>
      <c r="H31" s="22" t="n">
        <v>179.150000000009</v>
      </c>
    </row>
    <row r="32" customFormat="false" ht="15" hidden="false" customHeight="false" outlineLevel="0" collapsed="false">
      <c r="A32" s="24" t="n">
        <v>46113</v>
      </c>
      <c r="B32" s="25" t="n">
        <v>2899476.8</v>
      </c>
      <c r="C32" s="25" t="n">
        <v>3062269.96</v>
      </c>
      <c r="D32" s="26" t="n">
        <f aca="false">B32-C32</f>
        <v>-162793.16</v>
      </c>
      <c r="E32" s="25" t="n">
        <v>2668900.15</v>
      </c>
      <c r="F32" s="25" t="n">
        <v>2760887.23</v>
      </c>
      <c r="G32" s="26" t="n">
        <f aca="false">E32-F32</f>
        <v>-91987.0800000001</v>
      </c>
      <c r="H32" s="25" t="n">
        <v>-65684.3</v>
      </c>
    </row>
    <row r="33" customFormat="false" ht="15" hidden="false" customHeight="false" outlineLevel="0" collapsed="false">
      <c r="A33" s="21" t="n">
        <v>46143</v>
      </c>
      <c r="B33" s="22" t="n">
        <v>3001362.35</v>
      </c>
      <c r="C33" s="22" t="n">
        <v>2913877.12</v>
      </c>
      <c r="D33" s="23" t="n">
        <f aca="false">B33-C33</f>
        <v>87485.23</v>
      </c>
      <c r="E33" s="22" t="n">
        <v>2474222.24</v>
      </c>
      <c r="F33" s="22" t="n">
        <v>2616245.6</v>
      </c>
      <c r="G33" s="23" t="n">
        <f aca="false">E33-F33</f>
        <v>-142023.36</v>
      </c>
      <c r="H33" s="22" t="n">
        <v>237112.27</v>
      </c>
    </row>
    <row r="34" customFormat="false" ht="15" hidden="false" customHeight="false" outlineLevel="0" collapsed="false">
      <c r="A34" s="24" t="n">
        <v>46174</v>
      </c>
      <c r="B34" s="25" t="n">
        <v>3633568.82</v>
      </c>
      <c r="C34" s="25" t="n">
        <v>3084057.29</v>
      </c>
      <c r="D34" s="26" t="n">
        <f aca="false">B34-C34</f>
        <v>549511.53</v>
      </c>
      <c r="E34" s="25" t="n">
        <v>1980923.67</v>
      </c>
      <c r="F34" s="25" t="n">
        <v>2175475</v>
      </c>
      <c r="G34" s="26" t="n">
        <f aca="false">E34-F34</f>
        <v>-194551.33</v>
      </c>
      <c r="H34" s="25" t="n">
        <v>825057</v>
      </c>
    </row>
    <row r="35" customFormat="false" ht="15" hidden="false" customHeight="false" outlineLevel="0" collapsed="false">
      <c r="A35" s="21" t="n">
        <v>46204</v>
      </c>
      <c r="B35" s="22" t="n">
        <v>3009967.76</v>
      </c>
      <c r="C35" s="22" t="n">
        <v>2672477.83</v>
      </c>
      <c r="D35" s="23" t="n">
        <f aca="false">B35-C35</f>
        <v>337489.93</v>
      </c>
      <c r="E35" s="22" t="n">
        <v>804313.88</v>
      </c>
      <c r="F35" s="22" t="n">
        <v>1001974.61</v>
      </c>
      <c r="G35" s="23" t="n">
        <f aca="false">E35-F35</f>
        <v>-197660.73</v>
      </c>
      <c r="H35" s="22" t="n">
        <v>672825.87</v>
      </c>
    </row>
  </sheetData>
  <autoFilter ref="A4:H35"/>
  <mergeCells count="2">
    <mergeCell ref="A1:H1"/>
    <mergeCell ref="A2:H2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9" min="2" style="0" width="18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20" t="s">
        <v>38</v>
      </c>
      <c r="B4" s="20" t="s">
        <v>29</v>
      </c>
      <c r="C4" s="20" t="s">
        <v>30</v>
      </c>
      <c r="D4" s="20" t="s">
        <v>31</v>
      </c>
      <c r="E4" s="20" t="s">
        <v>32</v>
      </c>
      <c r="F4" s="20" t="s">
        <v>33</v>
      </c>
      <c r="G4" s="20" t="s">
        <v>34</v>
      </c>
      <c r="H4" s="20" t="s">
        <v>39</v>
      </c>
      <c r="I4" s="20" t="s">
        <v>40</v>
      </c>
      <c r="J4" s="20" t="s">
        <v>41</v>
      </c>
    </row>
    <row r="5" customFormat="false" ht="15" hidden="false" customHeight="false" outlineLevel="0" collapsed="false">
      <c r="A5" s="27" t="n">
        <v>2024</v>
      </c>
      <c r="B5" s="22" t="n">
        <v>37147048.82</v>
      </c>
      <c r="C5" s="22" t="n">
        <v>35941906.4</v>
      </c>
      <c r="D5" s="23" t="n">
        <f aca="false">B5-C5</f>
        <v>1205142.41999999</v>
      </c>
      <c r="E5" s="22" t="n">
        <v>35821027.44</v>
      </c>
      <c r="F5" s="22" t="n">
        <v>33542080.61</v>
      </c>
      <c r="G5" s="23" t="n">
        <f aca="false">E5-F5</f>
        <v>2278946.83</v>
      </c>
      <c r="H5" s="22" t="n">
        <v>331006.06</v>
      </c>
      <c r="I5" s="22" t="n">
        <v>316580.08</v>
      </c>
      <c r="J5" s="28" t="n">
        <v>30229</v>
      </c>
    </row>
    <row r="6" customFormat="false" ht="15" hidden="false" customHeight="false" outlineLevel="0" collapsed="false">
      <c r="A6" s="27" t="n">
        <v>2025</v>
      </c>
      <c r="B6" s="22" t="n">
        <v>41039247.71</v>
      </c>
      <c r="C6" s="22" t="n">
        <v>38116683.95</v>
      </c>
      <c r="D6" s="23" t="n">
        <f aca="false">B6-C6</f>
        <v>2922563.75999999</v>
      </c>
      <c r="E6" s="22" t="n">
        <v>39284899.12</v>
      </c>
      <c r="F6" s="22" t="n">
        <v>35943795.95</v>
      </c>
      <c r="G6" s="23" t="n">
        <f aca="false">E6-F6</f>
        <v>3341103.16999999</v>
      </c>
      <c r="H6" s="22" t="n">
        <v>550229.26</v>
      </c>
      <c r="I6" s="22" t="n">
        <v>493223.58</v>
      </c>
      <c r="J6" s="28" t="n">
        <v>32395</v>
      </c>
    </row>
    <row r="7" customFormat="false" ht="15" hidden="false" customHeight="false" outlineLevel="0" collapsed="false">
      <c r="A7" s="27" t="n">
        <v>2026</v>
      </c>
      <c r="B7" s="22" t="n">
        <v>22697554.61</v>
      </c>
      <c r="C7" s="22" t="n">
        <v>20310287.35</v>
      </c>
      <c r="D7" s="23" t="n">
        <f aca="false">B7-C7</f>
        <v>2387267.26</v>
      </c>
      <c r="E7" s="22" t="n">
        <v>17733284.07</v>
      </c>
      <c r="F7" s="22" t="n">
        <v>16541909.83</v>
      </c>
      <c r="G7" s="23" t="n">
        <f aca="false">E7-F7</f>
        <v>1191374.24</v>
      </c>
      <c r="H7" s="22" t="n">
        <v>4491463.93</v>
      </c>
      <c r="I7" s="22" t="n">
        <v>1029242.4</v>
      </c>
      <c r="J7" s="28" t="n">
        <v>17041</v>
      </c>
    </row>
    <row r="8" customFormat="false" ht="15" hidden="false" customHeight="false" outlineLevel="0" collapsed="false">
      <c r="A8" s="29" t="s">
        <v>42</v>
      </c>
      <c r="B8" s="30" t="n">
        <f aca="false">SUM(B5:B7)</f>
        <v>100883851.14</v>
      </c>
      <c r="C8" s="30" t="n">
        <f aca="false">SUM(C5:C7)</f>
        <v>94368877.7</v>
      </c>
      <c r="D8" s="30" t="n">
        <f aca="false">SUM(D5:D7)</f>
        <v>6514973.43999998</v>
      </c>
      <c r="E8" s="30" t="n">
        <f aca="false">SUM(E5:E7)</f>
        <v>92839210.63</v>
      </c>
      <c r="F8" s="30" t="n">
        <f aca="false">SUM(F5:F7)</f>
        <v>86027786.39</v>
      </c>
      <c r="G8" s="30" t="n">
        <f aca="false">SUM(G5:G7)</f>
        <v>6811424.23999999</v>
      </c>
      <c r="H8" s="30" t="n">
        <f aca="false">SUM(H5:H7)</f>
        <v>5372699.25</v>
      </c>
      <c r="I8" s="30" t="n">
        <f aca="false">SUM(I5:I7)</f>
        <v>1839046.06</v>
      </c>
      <c r="J8" s="31" t="n">
        <f aca="false">SUM(J5:J7)</f>
        <v>79665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20"/>
    <col collapsed="false" customWidth="true" hidden="false" outlineLevel="0" max="6" min="6" style="0" width="32"/>
    <col collapsed="false" customWidth="true" hidden="false" outlineLevel="0" max="8" min="7" style="0" width="18"/>
  </cols>
  <sheetData>
    <row r="1" customFormat="false" ht="31.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2" t="s">
        <v>45</v>
      </c>
      <c r="B4" s="32"/>
      <c r="C4" s="32"/>
      <c r="D4" s="32"/>
      <c r="E4" s="32"/>
      <c r="F4" s="32"/>
      <c r="G4" s="32"/>
      <c r="H4" s="32"/>
    </row>
    <row r="5" customFormat="false" ht="27.75" hidden="false" customHeight="true" outlineLevel="0" collapsed="false">
      <c r="A5" s="20" t="s">
        <v>46</v>
      </c>
      <c r="B5" s="20" t="s">
        <v>47</v>
      </c>
      <c r="C5" s="20" t="s">
        <v>48</v>
      </c>
      <c r="D5" s="20" t="s">
        <v>49</v>
      </c>
      <c r="E5" s="20" t="s">
        <v>50</v>
      </c>
      <c r="F5" s="20" t="s">
        <v>51</v>
      </c>
    </row>
    <row r="6" customFormat="false" ht="15" hidden="false" customHeight="false" outlineLevel="0" collapsed="false">
      <c r="A6" s="33" t="s">
        <v>52</v>
      </c>
      <c r="B6" s="34" t="n">
        <v>168781.94</v>
      </c>
      <c r="E6" s="0" t="s">
        <v>53</v>
      </c>
      <c r="F6" s="35" t="s">
        <v>54</v>
      </c>
    </row>
    <row r="7" customFormat="false" ht="28.35" hidden="false" customHeight="false" outlineLevel="0" collapsed="false">
      <c r="A7" s="33" t="s">
        <v>55</v>
      </c>
      <c r="B7" s="34" t="n">
        <v>130929.08</v>
      </c>
      <c r="C7" s="22" t="n">
        <v>130929.08</v>
      </c>
      <c r="D7" s="23" t="n">
        <f aca="false">C7-B7</f>
        <v>0</v>
      </c>
      <c r="E7" s="36" t="s">
        <v>56</v>
      </c>
      <c r="F7" s="35" t="s">
        <v>57</v>
      </c>
    </row>
    <row r="8" customFormat="false" ht="28.35" hidden="false" customHeight="false" outlineLevel="0" collapsed="false">
      <c r="A8" s="33" t="s">
        <v>58</v>
      </c>
      <c r="B8" s="34" t="n">
        <v>21378.62</v>
      </c>
      <c r="C8" s="22" t="n">
        <v>19216.67</v>
      </c>
      <c r="D8" s="23" t="n">
        <f aca="false">C8-B8</f>
        <v>-2161.95</v>
      </c>
      <c r="E8" s="37" t="s">
        <v>59</v>
      </c>
      <c r="F8" s="35" t="s">
        <v>60</v>
      </c>
    </row>
    <row r="9" customFormat="false" ht="41.75" hidden="false" customHeight="false" outlineLevel="0" collapsed="false">
      <c r="A9" s="33" t="s">
        <v>61</v>
      </c>
      <c r="B9" s="34" t="n">
        <v>152307.65</v>
      </c>
      <c r="C9" s="23" t="n">
        <f aca="false">SUM(B7:B8)</f>
        <v>152307.7</v>
      </c>
      <c r="D9" s="23" t="n">
        <f aca="false">C9-B9</f>
        <v>0.0500000000174623</v>
      </c>
      <c r="E9" s="37" t="s">
        <v>62</v>
      </c>
      <c r="F9" s="35" t="s">
        <v>63</v>
      </c>
    </row>
    <row r="10" customFormat="false" ht="28.35" hidden="false" customHeight="false" outlineLevel="0" collapsed="false">
      <c r="A10" s="33" t="s">
        <v>64</v>
      </c>
      <c r="C10" s="22" t="n">
        <v>150145.75</v>
      </c>
      <c r="E10" s="0" t="s">
        <v>65</v>
      </c>
      <c r="F10" s="35" t="s">
        <v>66</v>
      </c>
    </row>
    <row r="11" customFormat="false" ht="28.35" hidden="false" customHeight="false" outlineLevel="0" collapsed="false">
      <c r="A11" s="33" t="s">
        <v>67</v>
      </c>
      <c r="C11" s="23" t="n">
        <f aca="false">B6-C9</f>
        <v>16474.24</v>
      </c>
      <c r="E11" s="0" t="s">
        <v>46</v>
      </c>
      <c r="F11" s="35" t="s">
        <v>68</v>
      </c>
    </row>
    <row r="12" customFormat="false" ht="28.35" hidden="false" customHeight="false" outlineLevel="0" collapsed="false">
      <c r="A12" s="33" t="s">
        <v>69</v>
      </c>
      <c r="B12" s="34" t="n">
        <v>2850.62</v>
      </c>
      <c r="E12" s="0" t="s">
        <v>47</v>
      </c>
      <c r="F12" s="35" t="s">
        <v>70</v>
      </c>
    </row>
    <row r="13" customFormat="false" ht="15" hidden="false" customHeight="false" outlineLevel="0" collapsed="false">
      <c r="A13" s="33" t="s">
        <v>71</v>
      </c>
      <c r="B13" s="34" t="n">
        <v>61681.86</v>
      </c>
      <c r="E13" s="0" t="s">
        <v>47</v>
      </c>
      <c r="F13" s="35" t="s">
        <v>72</v>
      </c>
    </row>
    <row r="16" customFormat="false" ht="21.75" hidden="false" customHeight="true" outlineLevel="0" collapsed="false">
      <c r="A16" s="32" t="s">
        <v>73</v>
      </c>
      <c r="B16" s="32"/>
      <c r="C16" s="32"/>
      <c r="D16" s="32"/>
      <c r="E16" s="32"/>
      <c r="F16" s="32"/>
      <c r="G16" s="32"/>
      <c r="H16" s="32"/>
    </row>
    <row r="17" customFormat="false" ht="27.75" hidden="false" customHeight="true" outlineLevel="0" collapsed="false">
      <c r="A17" s="20" t="s">
        <v>46</v>
      </c>
      <c r="B17" s="20" t="s">
        <v>47</v>
      </c>
      <c r="C17" s="20" t="s">
        <v>74</v>
      </c>
      <c r="D17" s="20" t="s">
        <v>49</v>
      </c>
      <c r="E17" s="20" t="s">
        <v>50</v>
      </c>
      <c r="F17" s="20" t="s">
        <v>51</v>
      </c>
    </row>
    <row r="18" customFormat="false" ht="41.75" hidden="false" customHeight="false" outlineLevel="0" collapsed="false">
      <c r="A18" s="33" t="s">
        <v>75</v>
      </c>
      <c r="B18" s="34" t="n">
        <v>795735.88</v>
      </c>
      <c r="C18" s="22" t="n">
        <v>1798815.95</v>
      </c>
      <c r="D18" s="23" t="n">
        <f aca="false">C18-B18</f>
        <v>1003080.07</v>
      </c>
      <c r="E18" s="0" t="s">
        <v>76</v>
      </c>
      <c r="F18" s="35" t="s">
        <v>77</v>
      </c>
    </row>
    <row r="19" customFormat="false" ht="28.35" hidden="false" customHeight="false" outlineLevel="0" collapsed="false">
      <c r="A19" s="33" t="s">
        <v>78</v>
      </c>
      <c r="C19" s="22" t="n">
        <v>722368.84</v>
      </c>
      <c r="E19" s="0" t="s">
        <v>79</v>
      </c>
      <c r="F19" s="35" t="s">
        <v>80</v>
      </c>
    </row>
    <row r="20" customFormat="false" ht="28.35" hidden="false" customHeight="false" outlineLevel="0" collapsed="false">
      <c r="A20" s="33" t="s">
        <v>81</v>
      </c>
      <c r="C20" s="22" t="n">
        <v>272604.46</v>
      </c>
      <c r="E20" s="0" t="s">
        <v>79</v>
      </c>
      <c r="F20" s="35" t="s">
        <v>82</v>
      </c>
    </row>
    <row r="21" customFormat="false" ht="41.75" hidden="false" customHeight="false" outlineLevel="0" collapsed="false">
      <c r="A21" s="33" t="s">
        <v>83</v>
      </c>
      <c r="C21" s="22" t="n">
        <v>803842.65</v>
      </c>
      <c r="D21" s="23" t="n">
        <f aca="false">C21-B18</f>
        <v>8106.77000000002</v>
      </c>
      <c r="E21" s="37" t="s">
        <v>59</v>
      </c>
      <c r="F21" s="35" t="s">
        <v>84</v>
      </c>
    </row>
    <row r="22" customFormat="false" ht="28.35" hidden="false" customHeight="false" outlineLevel="0" collapsed="false">
      <c r="A22" s="33" t="s">
        <v>85</v>
      </c>
      <c r="B22" s="34" t="n">
        <v>76139.1</v>
      </c>
      <c r="E22" s="0" t="s">
        <v>47</v>
      </c>
      <c r="F22" s="35" t="s">
        <v>86</v>
      </c>
    </row>
    <row r="23" customFormat="false" ht="15" hidden="false" customHeight="false" outlineLevel="0" collapsed="false">
      <c r="A23" s="33" t="s">
        <v>87</v>
      </c>
      <c r="B23" s="34" t="n">
        <v>49340</v>
      </c>
      <c r="E23" s="0" t="s">
        <v>47</v>
      </c>
      <c r="F23" s="35" t="s">
        <v>88</v>
      </c>
    </row>
    <row r="24" customFormat="false" ht="15" hidden="false" customHeight="false" outlineLevel="0" collapsed="false">
      <c r="A24" s="33" t="s">
        <v>89</v>
      </c>
      <c r="C24" s="23" t="n">
        <f aca="false">B22+B23</f>
        <v>125479.1</v>
      </c>
      <c r="D24" s="23" t="n">
        <f aca="false">C24-125479.1</f>
        <v>0</v>
      </c>
      <c r="E24" s="0" t="s">
        <v>90</v>
      </c>
      <c r="F24" s="35" t="s">
        <v>91</v>
      </c>
    </row>
    <row r="25" customFormat="false" ht="15" hidden="false" customHeight="false" outlineLevel="0" collapsed="false">
      <c r="A25" s="33" t="s">
        <v>92</v>
      </c>
      <c r="B25" s="34" t="n">
        <v>670256.78</v>
      </c>
      <c r="C25" s="23" t="n">
        <f aca="false">B18-C24</f>
        <v>670256.78</v>
      </c>
      <c r="D25" s="23" t="n">
        <f aca="false">C25-B25</f>
        <v>0</v>
      </c>
      <c r="E25" s="0" t="s">
        <v>90</v>
      </c>
      <c r="F25" s="35" t="s">
        <v>93</v>
      </c>
    </row>
    <row r="28" customFormat="false" ht="21.75" hidden="false" customHeight="true" outlineLevel="0" collapsed="false">
      <c r="A28" s="32" t="s">
        <v>94</v>
      </c>
      <c r="B28" s="32"/>
      <c r="C28" s="32"/>
      <c r="D28" s="32"/>
      <c r="E28" s="32"/>
      <c r="F28" s="32"/>
      <c r="G28" s="32"/>
      <c r="H28" s="32"/>
    </row>
    <row r="29" customFormat="false" ht="27.75" hidden="false" customHeight="true" outlineLevel="0" collapsed="false">
      <c r="A29" s="20" t="s">
        <v>95</v>
      </c>
      <c r="B29" s="20" t="s">
        <v>96</v>
      </c>
      <c r="C29" s="20" t="s">
        <v>97</v>
      </c>
      <c r="D29" s="20" t="s">
        <v>98</v>
      </c>
      <c r="E29" s="20" t="s">
        <v>99</v>
      </c>
      <c r="F29" s="20" t="s">
        <v>90</v>
      </c>
    </row>
    <row r="30" customFormat="false" ht="15" hidden="false" customHeight="false" outlineLevel="0" collapsed="false">
      <c r="A30" s="0" t="s">
        <v>100</v>
      </c>
      <c r="B30" s="34" t="n">
        <v>165565.93</v>
      </c>
      <c r="C30" s="34" t="n">
        <v>0</v>
      </c>
      <c r="D30" s="23" t="n">
        <f aca="false">B30-C30</f>
        <v>165565.93</v>
      </c>
      <c r="E30" s="38" t="n">
        <f aca="false">B30/$B$34</f>
        <v>0.208066461356476</v>
      </c>
      <c r="F30" s="0" t="s">
        <v>56</v>
      </c>
    </row>
    <row r="31" customFormat="false" ht="15" hidden="false" customHeight="false" outlineLevel="0" collapsed="false">
      <c r="A31" s="0" t="s">
        <v>101</v>
      </c>
      <c r="B31" s="34" t="n">
        <v>11955.1</v>
      </c>
      <c r="C31" s="34" t="n">
        <v>0</v>
      </c>
      <c r="D31" s="23" t="n">
        <f aca="false">B31-C31</f>
        <v>11955.1</v>
      </c>
      <c r="E31" s="38" t="n">
        <f aca="false">B31/$B$34</f>
        <v>0.0150239566326406</v>
      </c>
      <c r="F31" s="0" t="s">
        <v>56</v>
      </c>
    </row>
    <row r="32" customFormat="false" ht="15" hidden="false" customHeight="false" outlineLevel="0" collapsed="false">
      <c r="A32" s="0" t="s">
        <v>102</v>
      </c>
      <c r="B32" s="34" t="n">
        <v>42115.6</v>
      </c>
      <c r="C32" s="34" t="n">
        <v>1911.6</v>
      </c>
      <c r="D32" s="23" t="n">
        <f aca="false">B32-C32</f>
        <v>40204</v>
      </c>
      <c r="E32" s="38" t="n">
        <f aca="false">B32/$B$34</f>
        <v>0.0529266127391354</v>
      </c>
      <c r="F32" s="0" t="s">
        <v>56</v>
      </c>
    </row>
    <row r="33" customFormat="false" ht="15" hidden="false" customHeight="false" outlineLevel="0" collapsed="false">
      <c r="A33" s="0" t="s">
        <v>103</v>
      </c>
      <c r="B33" s="34" t="n">
        <v>576099.16</v>
      </c>
      <c r="C33" s="34" t="n">
        <v>123567.5</v>
      </c>
      <c r="D33" s="23" t="n">
        <f aca="false">B33-C33</f>
        <v>452531.66</v>
      </c>
      <c r="E33" s="38" t="n">
        <f aca="false">B33/$B$34</f>
        <v>0.723982969271748</v>
      </c>
      <c r="F33" s="0" t="s">
        <v>56</v>
      </c>
    </row>
    <row r="34" customFormat="false" ht="15" hidden="false" customHeight="false" outlineLevel="0" collapsed="false">
      <c r="A34" s="29" t="s">
        <v>104</v>
      </c>
      <c r="B34" s="39" t="n">
        <f aca="false">SUM(B30:B33)</f>
        <v>795735.79</v>
      </c>
      <c r="C34" s="39" t="n">
        <f aca="false">SUM(C30:C33)</f>
        <v>125479.1</v>
      </c>
      <c r="D34" s="39" t="n">
        <f aca="false">SUM(D30:D33)</f>
        <v>670256.69</v>
      </c>
      <c r="E34" s="40" t="n">
        <f aca="false">SUM(E30:E33)</f>
        <v>1</v>
      </c>
      <c r="F34" s="39" t="n">
        <f aca="false">B34-$B$18</f>
        <v>-0.0899999999674037</v>
      </c>
    </row>
    <row r="35" customFormat="false" ht="15" hidden="false" customHeight="true" outlineLevel="0" collapsed="false">
      <c r="A35" s="0" t="s">
        <v>51</v>
      </c>
      <c r="B35" s="41" t="s">
        <v>105</v>
      </c>
      <c r="C35" s="41"/>
      <c r="D35" s="41"/>
      <c r="E35" s="41"/>
      <c r="F35" s="41"/>
    </row>
    <row r="38" customFormat="false" ht="21.75" hidden="false" customHeight="true" outlineLevel="0" collapsed="false">
      <c r="A38" s="32" t="s">
        <v>106</v>
      </c>
      <c r="B38" s="32"/>
      <c r="C38" s="32"/>
      <c r="D38" s="32"/>
      <c r="E38" s="32"/>
      <c r="F38" s="32"/>
      <c r="G38" s="32"/>
      <c r="H38" s="32"/>
    </row>
    <row r="39" customFormat="false" ht="27.75" hidden="false" customHeight="true" outlineLevel="0" collapsed="false">
      <c r="A39" s="20" t="s">
        <v>107</v>
      </c>
      <c r="B39" s="20" t="s">
        <v>47</v>
      </c>
      <c r="C39" s="20" t="s">
        <v>74</v>
      </c>
      <c r="D39" s="20" t="s">
        <v>49</v>
      </c>
      <c r="E39" s="20" t="s">
        <v>51</v>
      </c>
    </row>
    <row r="40" customFormat="false" ht="28.35" hidden="false" customHeight="false" outlineLevel="0" collapsed="false">
      <c r="A40" s="33" t="s">
        <v>108</v>
      </c>
      <c r="B40" s="34" t="n">
        <v>72580.27</v>
      </c>
      <c r="C40" s="23" t="n">
        <f aca="false">SUM(B45:B48)</f>
        <v>72580.27</v>
      </c>
      <c r="D40" s="23" t="n">
        <f aca="false">C40-B40</f>
        <v>0</v>
      </c>
      <c r="E40" s="35" t="s">
        <v>109</v>
      </c>
    </row>
    <row r="41" customFormat="false" ht="28.35" hidden="false" customHeight="false" outlineLevel="0" collapsed="false">
      <c r="A41" s="33" t="s">
        <v>110</v>
      </c>
      <c r="B41" s="34" t="n">
        <v>23568.7</v>
      </c>
      <c r="C41" s="23" t="n">
        <f aca="false">SUM(B50:B52)</f>
        <v>23568.7</v>
      </c>
      <c r="D41" s="23" t="n">
        <f aca="false">C41-B41</f>
        <v>0</v>
      </c>
      <c r="E41" s="35" t="s">
        <v>109</v>
      </c>
    </row>
    <row r="42" customFormat="false" ht="15" hidden="false" customHeight="false" outlineLevel="0" collapsed="false">
      <c r="A42" s="33" t="s">
        <v>111</v>
      </c>
      <c r="B42" s="34" t="n">
        <v>105311.55</v>
      </c>
      <c r="E42" s="35" t="s">
        <v>112</v>
      </c>
    </row>
    <row r="43" customFormat="false" ht="15" hidden="false" customHeight="false" outlineLevel="0" collapsed="false">
      <c r="A43" s="33" t="s">
        <v>113</v>
      </c>
      <c r="C43" s="23" t="n">
        <f aca="false">SUM(B40:B42)</f>
        <v>201460.52</v>
      </c>
      <c r="E43" s="35" t="s">
        <v>114</v>
      </c>
    </row>
    <row r="44" customFormat="false" ht="28.35" hidden="false" customHeight="false" outlineLevel="0" collapsed="false">
      <c r="A44" s="33" t="s">
        <v>115</v>
      </c>
      <c r="C44" s="22" t="n">
        <v>202260.52</v>
      </c>
      <c r="D44" s="23" t="n">
        <f aca="false">C44-C43</f>
        <v>799.999999999971</v>
      </c>
      <c r="E44" s="35" t="s">
        <v>116</v>
      </c>
    </row>
    <row r="45" customFormat="false" ht="15" hidden="false" customHeight="false" outlineLevel="0" collapsed="false">
      <c r="A45" s="0" t="s">
        <v>117</v>
      </c>
      <c r="B45" s="34" t="n">
        <v>9430</v>
      </c>
    </row>
    <row r="46" customFormat="false" ht="15" hidden="false" customHeight="false" outlineLevel="0" collapsed="false">
      <c r="A46" s="0" t="s">
        <v>118</v>
      </c>
      <c r="B46" s="34" t="n">
        <v>1278.8</v>
      </c>
    </row>
    <row r="47" customFormat="false" ht="15" hidden="false" customHeight="false" outlineLevel="0" collapsed="false">
      <c r="A47" s="0" t="s">
        <v>119</v>
      </c>
      <c r="B47" s="34" t="n">
        <v>1927.5</v>
      </c>
    </row>
    <row r="48" customFormat="false" ht="15" hidden="false" customHeight="false" outlineLevel="0" collapsed="false">
      <c r="A48" s="0" t="s">
        <v>120</v>
      </c>
      <c r="B48" s="34" t="n">
        <v>59943.97</v>
      </c>
    </row>
    <row r="50" customFormat="false" ht="15" hidden="false" customHeight="false" outlineLevel="0" collapsed="false">
      <c r="A50" s="0" t="s">
        <v>121</v>
      </c>
      <c r="B50" s="34" t="n">
        <v>1726.8</v>
      </c>
    </row>
    <row r="51" customFormat="false" ht="15" hidden="false" customHeight="false" outlineLevel="0" collapsed="false">
      <c r="A51" s="0" t="s">
        <v>122</v>
      </c>
      <c r="B51" s="34" t="n">
        <v>289.6</v>
      </c>
    </row>
    <row r="52" customFormat="false" ht="15" hidden="false" customHeight="false" outlineLevel="0" collapsed="false">
      <c r="A52" s="0" t="s">
        <v>123</v>
      </c>
      <c r="B52" s="34" t="n">
        <v>21552.3</v>
      </c>
    </row>
    <row r="55" customFormat="false" ht="21.75" hidden="false" customHeight="true" outlineLevel="0" collapsed="false">
      <c r="A55" s="32" t="s">
        <v>124</v>
      </c>
      <c r="B55" s="32"/>
      <c r="C55" s="32"/>
      <c r="D55" s="32"/>
      <c r="E55" s="32"/>
      <c r="F55" s="32"/>
      <c r="G55" s="32"/>
      <c r="H55" s="32"/>
    </row>
    <row r="56" customFormat="false" ht="27.75" hidden="false" customHeight="true" outlineLevel="0" collapsed="false">
      <c r="A56" s="20" t="s">
        <v>125</v>
      </c>
      <c r="B56" s="20" t="s">
        <v>47</v>
      </c>
      <c r="C56" s="20" t="s">
        <v>126</v>
      </c>
      <c r="D56" s="20" t="s">
        <v>49</v>
      </c>
      <c r="E56" s="20" t="s">
        <v>51</v>
      </c>
    </row>
    <row r="57" customFormat="false" ht="15" hidden="false" customHeight="false" outlineLevel="0" collapsed="false">
      <c r="A57" s="42" t="n">
        <v>46231</v>
      </c>
      <c r="B57" s="34" t="n">
        <v>201870.2</v>
      </c>
      <c r="C57" s="22" t="n">
        <v>46994.62</v>
      </c>
      <c r="D57" s="23" t="n">
        <f aca="false">C57-B57</f>
        <v>-154875.58</v>
      </c>
      <c r="E57" s="35"/>
    </row>
    <row r="58" customFormat="false" ht="41.75" hidden="false" customHeight="false" outlineLevel="0" collapsed="false">
      <c r="A58" s="42" t="n">
        <v>46232</v>
      </c>
      <c r="B58" s="34" t="n">
        <v>46944.62</v>
      </c>
      <c r="C58" s="22" t="n">
        <v>97866.54</v>
      </c>
      <c r="D58" s="23" t="n">
        <f aca="false">C58-B58</f>
        <v>50921.92</v>
      </c>
      <c r="E58" s="35" t="s">
        <v>127</v>
      </c>
    </row>
    <row r="59" customFormat="false" ht="15" hidden="false" customHeight="false" outlineLevel="0" collapsed="false">
      <c r="A59" s="42" t="n">
        <v>46233</v>
      </c>
      <c r="B59" s="34" t="n">
        <v>97866.54</v>
      </c>
      <c r="C59" s="22" t="n">
        <v>78668.99</v>
      </c>
      <c r="D59" s="23" t="n">
        <f aca="false">C59-B59</f>
        <v>-19197.55</v>
      </c>
      <c r="E59" s="35"/>
    </row>
    <row r="60" customFormat="false" ht="15" hidden="false" customHeight="false" outlineLevel="0" collapsed="false">
      <c r="A60" s="42" t="n">
        <v>46234</v>
      </c>
      <c r="B60" s="34" t="n">
        <v>78668.99</v>
      </c>
      <c r="C60" s="22" t="n">
        <v>95706.51</v>
      </c>
      <c r="D60" s="23" t="n">
        <f aca="false">C60-B60</f>
        <v>17037.52</v>
      </c>
      <c r="E60" s="35"/>
    </row>
    <row r="61" customFormat="false" ht="15" hidden="false" customHeight="false" outlineLevel="0" collapsed="false">
      <c r="A61" s="42" t="n">
        <v>46237</v>
      </c>
      <c r="B61" s="34" t="n">
        <v>95706.51</v>
      </c>
      <c r="C61" s="22" t="n">
        <v>71768.93</v>
      </c>
      <c r="D61" s="23" t="n">
        <f aca="false">C61-B61</f>
        <v>-23937.58</v>
      </c>
      <c r="E61" s="35"/>
    </row>
    <row r="62" customFormat="false" ht="15" hidden="false" customHeight="false" outlineLevel="0" collapsed="false">
      <c r="A62" s="29" t="s">
        <v>42</v>
      </c>
      <c r="B62" s="39" t="n">
        <f aca="false">SUM(B57:B61)</f>
        <v>521056.86</v>
      </c>
      <c r="C62" s="39" t="n">
        <f aca="false">SUM(C57:C61)</f>
        <v>391005.59</v>
      </c>
      <c r="D62" s="39" t="n">
        <f aca="false">C62-B62</f>
        <v>-130051.27</v>
      </c>
    </row>
    <row r="65" customFormat="false" ht="21.75" hidden="false" customHeight="true" outlineLevel="0" collapsed="false">
      <c r="A65" s="32" t="s">
        <v>128</v>
      </c>
      <c r="B65" s="32"/>
      <c r="C65" s="32"/>
      <c r="D65" s="32"/>
      <c r="E65" s="32"/>
      <c r="F65" s="32"/>
      <c r="G65" s="32"/>
      <c r="H65" s="32"/>
    </row>
    <row r="66" customFormat="false" ht="15" hidden="false" customHeight="false" outlineLevel="0" collapsed="false">
      <c r="A66" s="0" t="s">
        <v>129</v>
      </c>
      <c r="B66" s="43" t="s">
        <v>130</v>
      </c>
    </row>
    <row r="67" customFormat="false" ht="15" hidden="false" customHeight="false" outlineLevel="0" collapsed="false">
      <c r="A67" s="0" t="s">
        <v>131</v>
      </c>
      <c r="B67" s="34" t="n">
        <v>1726.8</v>
      </c>
    </row>
    <row r="68" customFormat="false" ht="15" hidden="false" customHeight="false" outlineLevel="0" collapsed="false">
      <c r="A68" s="0" t="s">
        <v>132</v>
      </c>
      <c r="B68" s="43" t="s">
        <v>130</v>
      </c>
    </row>
    <row r="70" customFormat="false" ht="15" hidden="false" customHeight="false" outlineLevel="0" collapsed="false">
      <c r="A70" s="44" t="s">
        <v>133</v>
      </c>
      <c r="B70" s="44"/>
      <c r="C70" s="44"/>
      <c r="D70" s="44"/>
      <c r="E70" s="44"/>
      <c r="F70" s="44"/>
    </row>
    <row r="71" customFormat="false" ht="15" hidden="false" customHeight="true" outlineLevel="0" collapsed="false">
      <c r="A71" s="45" t="s">
        <v>134</v>
      </c>
      <c r="B71" s="45"/>
      <c r="C71" s="45"/>
      <c r="D71" s="45"/>
      <c r="E71" s="45"/>
      <c r="F71" s="45"/>
    </row>
    <row r="72" customFormat="false" ht="15" hidden="false" customHeight="true" outlineLevel="0" collapsed="false">
      <c r="A72" s="45" t="s">
        <v>135</v>
      </c>
      <c r="B72" s="45"/>
      <c r="C72" s="45"/>
      <c r="D72" s="45"/>
      <c r="E72" s="45"/>
      <c r="F72" s="45"/>
    </row>
    <row r="73" customFormat="false" ht="15" hidden="false" customHeight="true" outlineLevel="0" collapsed="false">
      <c r="A73" s="45" t="s">
        <v>136</v>
      </c>
      <c r="B73" s="45"/>
      <c r="C73" s="45"/>
      <c r="D73" s="45"/>
      <c r="E73" s="45"/>
      <c r="F73" s="45"/>
    </row>
    <row r="74" customFormat="false" ht="15" hidden="false" customHeight="true" outlineLevel="0" collapsed="false">
      <c r="A74" s="45" t="s">
        <v>137</v>
      </c>
      <c r="B74" s="45"/>
      <c r="C74" s="45"/>
      <c r="D74" s="45"/>
      <c r="E74" s="45"/>
      <c r="F74" s="45"/>
    </row>
    <row r="75" customFormat="false" ht="15" hidden="false" customHeight="true" outlineLevel="0" collapsed="false">
      <c r="A75" s="45" t="s">
        <v>138</v>
      </c>
      <c r="B75" s="45"/>
      <c r="C75" s="45"/>
      <c r="D75" s="45"/>
      <c r="E75" s="45"/>
      <c r="F75" s="45"/>
    </row>
  </sheetData>
  <mergeCells count="15">
    <mergeCell ref="A1:H1"/>
    <mergeCell ref="A2:H2"/>
    <mergeCell ref="A4:H4"/>
    <mergeCell ref="A16:H16"/>
    <mergeCell ref="A28:H28"/>
    <mergeCell ref="B35:F35"/>
    <mergeCell ref="A38:H38"/>
    <mergeCell ref="A55:H55"/>
    <mergeCell ref="A65:H65"/>
    <mergeCell ref="A70:F70"/>
    <mergeCell ref="A71:F71"/>
    <mergeCell ref="A72:F72"/>
    <mergeCell ref="A73:F73"/>
    <mergeCell ref="A74:F74"/>
    <mergeCell ref="A75:F75"/>
  </mergeCells>
  <conditionalFormatting sqref="D6:D62">
    <cfRule type="cellIs" priority="2" operator="not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8"/>
  </cols>
  <sheetData>
    <row r="1" customFormat="false" ht="31.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2" t="s">
        <v>141</v>
      </c>
      <c r="B4" s="32"/>
      <c r="C4" s="32"/>
      <c r="D4" s="32"/>
      <c r="E4" s="32"/>
      <c r="F4" s="32"/>
      <c r="G4" s="32"/>
    </row>
    <row r="5" customFormat="false" ht="27.75" hidden="false" customHeight="true" outlineLevel="0" collapsed="false">
      <c r="A5" s="20" t="s">
        <v>95</v>
      </c>
      <c r="B5" s="20" t="s">
        <v>142</v>
      </c>
      <c r="C5" s="20" t="s">
        <v>143</v>
      </c>
      <c r="D5" s="20" t="s">
        <v>144</v>
      </c>
    </row>
    <row r="6" customFormat="false" ht="15" hidden="false" customHeight="false" outlineLevel="0" collapsed="false">
      <c r="A6" s="0" t="s">
        <v>145</v>
      </c>
      <c r="B6" s="22" t="n">
        <v>3533653.19</v>
      </c>
      <c r="C6" s="38" t="n">
        <f aca="false">B6/$B$12</f>
        <v>0.65770537779497</v>
      </c>
      <c r="D6" s="28" t="n">
        <v>1599</v>
      </c>
    </row>
    <row r="7" customFormat="false" ht="15" hidden="false" customHeight="false" outlineLevel="0" collapsed="false">
      <c r="A7" s="0" t="s">
        <v>146</v>
      </c>
      <c r="B7" s="22" t="n">
        <v>587076.81</v>
      </c>
      <c r="C7" s="38" t="n">
        <f aca="false">B7/$B$12</f>
        <v>0.109270365356855</v>
      </c>
      <c r="D7" s="28" t="n">
        <v>173</v>
      </c>
    </row>
    <row r="8" customFormat="false" ht="15" hidden="false" customHeight="false" outlineLevel="0" collapsed="false">
      <c r="A8" s="0" t="s">
        <v>147</v>
      </c>
      <c r="B8" s="22" t="n">
        <v>117602.12</v>
      </c>
      <c r="C8" s="38" t="n">
        <f aca="false">B8/$B$12</f>
        <v>0.0218888336249233</v>
      </c>
      <c r="D8" s="28" t="n">
        <v>59</v>
      </c>
    </row>
    <row r="9" customFormat="false" ht="15" hidden="false" customHeight="false" outlineLevel="0" collapsed="false">
      <c r="A9" s="0" t="s">
        <v>148</v>
      </c>
      <c r="B9" s="22" t="n">
        <v>112082.57</v>
      </c>
      <c r="C9" s="38" t="n">
        <f aca="false">B9/$B$12</f>
        <v>0.0208615008554592</v>
      </c>
      <c r="D9" s="28" t="n">
        <v>43</v>
      </c>
    </row>
    <row r="10" customFormat="false" ht="15" hidden="false" customHeight="false" outlineLevel="0" collapsed="false">
      <c r="A10" s="0" t="s">
        <v>149</v>
      </c>
      <c r="B10" s="22" t="n">
        <v>216199.06</v>
      </c>
      <c r="C10" s="38" t="n">
        <f aca="false">B10/$B$12</f>
        <v>0.040240305652694</v>
      </c>
      <c r="D10" s="28" t="n">
        <v>74</v>
      </c>
    </row>
    <row r="11" customFormat="false" ht="15" hidden="false" customHeight="false" outlineLevel="0" collapsed="false">
      <c r="A11" s="0" t="s">
        <v>150</v>
      </c>
      <c r="B11" s="22" t="n">
        <v>806085.5</v>
      </c>
      <c r="C11" s="38" t="n">
        <f aca="false">B11/$B$12</f>
        <v>0.150033616715099</v>
      </c>
      <c r="D11" s="28" t="n">
        <v>397</v>
      </c>
    </row>
    <row r="12" customFormat="false" ht="15" hidden="false" customHeight="false" outlineLevel="0" collapsed="false">
      <c r="A12" s="29" t="s">
        <v>151</v>
      </c>
      <c r="B12" s="39" t="n">
        <f aca="false">SUM(B6:B11)</f>
        <v>5372699.25</v>
      </c>
      <c r="C12" s="40" t="n">
        <f aca="false">SUM(C6:C11)</f>
        <v>1</v>
      </c>
      <c r="D12" s="46" t="n">
        <f aca="false">SUM(D6:D11)</f>
        <v>2345</v>
      </c>
    </row>
    <row r="15" customFormat="false" ht="21.75" hidden="false" customHeight="true" outlineLevel="0" collapsed="false">
      <c r="A15" s="32" t="s">
        <v>152</v>
      </c>
      <c r="B15" s="32"/>
      <c r="C15" s="32"/>
      <c r="D15" s="32"/>
      <c r="E15" s="32"/>
      <c r="F15" s="32"/>
      <c r="G15" s="32"/>
    </row>
    <row r="16" customFormat="false" ht="15" hidden="false" customHeight="false" outlineLevel="0" collapsed="false">
      <c r="A16" s="0" t="s">
        <v>153</v>
      </c>
      <c r="B16" s="22" t="n">
        <v>1798815.95</v>
      </c>
    </row>
    <row r="17" customFormat="false" ht="15" hidden="false" customHeight="false" outlineLevel="0" collapsed="false">
      <c r="A17" s="0" t="s">
        <v>78</v>
      </c>
      <c r="B17" s="22" t="n">
        <v>-722368.84</v>
      </c>
    </row>
    <row r="18" customFormat="false" ht="15" hidden="false" customHeight="false" outlineLevel="0" collapsed="false">
      <c r="A18" s="0" t="s">
        <v>154</v>
      </c>
      <c r="B18" s="22" t="n">
        <v>-272604.46</v>
      </c>
    </row>
    <row r="19" customFormat="false" ht="15" hidden="false" customHeight="false" outlineLevel="0" collapsed="false">
      <c r="A19" s="47" t="s">
        <v>83</v>
      </c>
      <c r="B19" s="48" t="n">
        <v>803842.65</v>
      </c>
    </row>
    <row r="20" customFormat="false" ht="15" hidden="false" customHeight="false" outlineLevel="0" collapsed="false">
      <c r="A20" s="0" t="s">
        <v>155</v>
      </c>
      <c r="B20" s="34" t="n">
        <v>795735.88</v>
      </c>
    </row>
    <row r="21" customFormat="false" ht="15" hidden="false" customHeight="false" outlineLevel="0" collapsed="false">
      <c r="A21" s="47" t="s">
        <v>49</v>
      </c>
      <c r="B21" s="49" t="n">
        <f aca="false">B19-B20</f>
        <v>8106.77000000002</v>
      </c>
    </row>
    <row r="24" customFormat="false" ht="21.75" hidden="false" customHeight="true" outlineLevel="0" collapsed="false">
      <c r="A24" s="32" t="s">
        <v>156</v>
      </c>
      <c r="B24" s="32"/>
      <c r="C24" s="32"/>
      <c r="D24" s="32"/>
      <c r="E24" s="32"/>
      <c r="F24" s="32"/>
      <c r="G24" s="32"/>
    </row>
    <row r="25" customFormat="false" ht="27.75" hidden="false" customHeight="true" outlineLevel="0" collapsed="false">
      <c r="A25" s="20" t="s">
        <v>157</v>
      </c>
      <c r="B25" s="20" t="s">
        <v>158</v>
      </c>
      <c r="C25" s="20" t="s">
        <v>159</v>
      </c>
      <c r="D25" s="20" t="s">
        <v>144</v>
      </c>
      <c r="E25" s="20" t="s">
        <v>160</v>
      </c>
    </row>
    <row r="26" customFormat="false" ht="15" hidden="false" customHeight="false" outlineLevel="0" collapsed="false">
      <c r="A26" s="0" t="s">
        <v>161</v>
      </c>
      <c r="B26" s="22" t="n">
        <v>285281.55</v>
      </c>
      <c r="C26" s="22" t="n">
        <v>285281.55</v>
      </c>
      <c r="D26" s="28" t="n">
        <v>58</v>
      </c>
      <c r="E26" s="38" t="n">
        <f aca="false">B26/$B$12</f>
        <v>0.0530983657795474</v>
      </c>
    </row>
    <row r="27" customFormat="false" ht="15" hidden="false" customHeight="false" outlineLevel="0" collapsed="false">
      <c r="A27" s="0" t="s">
        <v>162</v>
      </c>
      <c r="B27" s="22" t="n">
        <v>193079.92</v>
      </c>
      <c r="C27" s="22" t="n">
        <v>6307</v>
      </c>
      <c r="D27" s="28" t="n">
        <v>31</v>
      </c>
      <c r="E27" s="38" t="n">
        <f aca="false">B27/$B$12</f>
        <v>0.0359372283866438</v>
      </c>
    </row>
    <row r="28" customFormat="false" ht="15" hidden="false" customHeight="false" outlineLevel="0" collapsed="false">
      <c r="A28" s="0" t="s">
        <v>163</v>
      </c>
      <c r="B28" s="22" t="n">
        <v>125153.1</v>
      </c>
      <c r="C28" s="22" t="n">
        <v>63596.7</v>
      </c>
      <c r="D28" s="28" t="n">
        <v>12</v>
      </c>
      <c r="E28" s="38" t="n">
        <f aca="false">B28/$B$12</f>
        <v>0.0232942687048787</v>
      </c>
    </row>
    <row r="29" customFormat="false" ht="15" hidden="false" customHeight="false" outlineLevel="0" collapsed="false">
      <c r="A29" s="0" t="s">
        <v>164</v>
      </c>
      <c r="B29" s="22" t="n">
        <v>113384.1</v>
      </c>
      <c r="C29" s="22" t="n">
        <v>83349.78</v>
      </c>
      <c r="D29" s="28" t="n">
        <v>51</v>
      </c>
      <c r="E29" s="38" t="n">
        <f aca="false">B29/$B$12</f>
        <v>0.0211037496654964</v>
      </c>
    </row>
    <row r="30" customFormat="false" ht="15" hidden="false" customHeight="false" outlineLevel="0" collapsed="false">
      <c r="A30" s="0" t="s">
        <v>165</v>
      </c>
      <c r="B30" s="22" t="n">
        <v>89404</v>
      </c>
      <c r="C30" s="22" t="n">
        <v>0</v>
      </c>
      <c r="D30" s="28" t="n">
        <v>10</v>
      </c>
      <c r="E30" s="38" t="n">
        <f aca="false">B30/$B$12</f>
        <v>0.0166404252015409</v>
      </c>
    </row>
    <row r="31" customFormat="false" ht="15" hidden="false" customHeight="false" outlineLevel="0" collapsed="false">
      <c r="A31" s="0" t="s">
        <v>166</v>
      </c>
      <c r="B31" s="22" t="n">
        <v>78061.66</v>
      </c>
      <c r="C31" s="22" t="n">
        <v>0</v>
      </c>
      <c r="D31" s="28" t="n">
        <v>27</v>
      </c>
      <c r="E31" s="38" t="n">
        <f aca="false">B31/$B$12</f>
        <v>0.0145293187590949</v>
      </c>
    </row>
    <row r="32" customFormat="false" ht="15" hidden="false" customHeight="false" outlineLevel="0" collapsed="false">
      <c r="A32" s="0" t="s">
        <v>167</v>
      </c>
      <c r="B32" s="22" t="n">
        <v>74282.73</v>
      </c>
      <c r="C32" s="22" t="n">
        <v>41531.88</v>
      </c>
      <c r="D32" s="28" t="n">
        <v>5</v>
      </c>
      <c r="E32" s="38" t="n">
        <f aca="false">B32/$B$12</f>
        <v>0.0138259609450501</v>
      </c>
    </row>
    <row r="33" customFormat="false" ht="15" hidden="false" customHeight="false" outlineLevel="0" collapsed="false">
      <c r="A33" s="0" t="s">
        <v>168</v>
      </c>
      <c r="B33" s="22" t="n">
        <v>68445.63</v>
      </c>
      <c r="C33" s="22" t="n">
        <v>0</v>
      </c>
      <c r="D33" s="28" t="n">
        <v>7</v>
      </c>
      <c r="E33" s="38" t="n">
        <f aca="false">B33/$B$12</f>
        <v>0.0127395238063995</v>
      </c>
    </row>
    <row r="34" customFormat="false" ht="15" hidden="false" customHeight="false" outlineLevel="0" collapsed="false">
      <c r="A34" s="0" t="s">
        <v>169</v>
      </c>
      <c r="B34" s="22" t="n">
        <v>67040.04</v>
      </c>
      <c r="C34" s="22" t="n">
        <v>67040.04</v>
      </c>
      <c r="D34" s="28" t="n">
        <v>15</v>
      </c>
      <c r="E34" s="38" t="n">
        <f aca="false">B34/$B$12</f>
        <v>0.0124779067058332</v>
      </c>
    </row>
    <row r="35" customFormat="false" ht="15" hidden="false" customHeight="false" outlineLevel="0" collapsed="false">
      <c r="A35" s="0" t="s">
        <v>170</v>
      </c>
      <c r="B35" s="22" t="n">
        <v>62031.4</v>
      </c>
      <c r="C35" s="22" t="n">
        <v>0</v>
      </c>
      <c r="D35" s="28" t="n">
        <v>17</v>
      </c>
      <c r="E35" s="38" t="n">
        <f aca="false">B35/$B$12</f>
        <v>0.0115456676641634</v>
      </c>
    </row>
    <row r="36" customFormat="false" ht="15" hidden="false" customHeight="false" outlineLevel="0" collapsed="false">
      <c r="A36" s="0" t="s">
        <v>171</v>
      </c>
      <c r="B36" s="22" t="n">
        <v>61648.04</v>
      </c>
      <c r="C36" s="22" t="n">
        <v>0</v>
      </c>
      <c r="D36" s="28" t="n">
        <v>10</v>
      </c>
      <c r="E36" s="38" t="n">
        <f aca="false">B36/$B$12</f>
        <v>0.0114743143309203</v>
      </c>
    </row>
    <row r="37" customFormat="false" ht="15" hidden="false" customHeight="false" outlineLevel="0" collapsed="false">
      <c r="A37" s="0" t="s">
        <v>172</v>
      </c>
      <c r="B37" s="22" t="n">
        <v>60065.23</v>
      </c>
      <c r="C37" s="22" t="n">
        <v>13365.75</v>
      </c>
      <c r="D37" s="28" t="n">
        <v>14</v>
      </c>
      <c r="E37" s="38" t="n">
        <f aca="false">B37/$B$12</f>
        <v>0.0111797119483284</v>
      </c>
    </row>
    <row r="38" customFormat="false" ht="15" hidden="false" customHeight="false" outlineLevel="0" collapsed="false">
      <c r="A38" s="0" t="s">
        <v>173</v>
      </c>
      <c r="B38" s="22" t="n">
        <v>54621.12</v>
      </c>
      <c r="C38" s="22" t="n">
        <v>0</v>
      </c>
      <c r="D38" s="28" t="n">
        <v>15</v>
      </c>
      <c r="E38" s="38" t="n">
        <f aca="false">B38/$B$12</f>
        <v>0.0101664205380564</v>
      </c>
    </row>
    <row r="39" customFormat="false" ht="15" hidden="false" customHeight="false" outlineLevel="0" collapsed="false">
      <c r="A39" s="0" t="s">
        <v>174</v>
      </c>
      <c r="B39" s="22" t="n">
        <v>54455.33</v>
      </c>
      <c r="C39" s="22" t="n">
        <v>0</v>
      </c>
      <c r="D39" s="28" t="n">
        <v>5</v>
      </c>
      <c r="E39" s="38" t="n">
        <f aca="false">B39/$B$12</f>
        <v>0.0101355626782943</v>
      </c>
    </row>
    <row r="40" customFormat="false" ht="15" hidden="false" customHeight="false" outlineLevel="0" collapsed="false">
      <c r="A40" s="0" t="s">
        <v>175</v>
      </c>
      <c r="B40" s="22" t="n">
        <v>54441.64</v>
      </c>
      <c r="C40" s="22" t="n">
        <v>54441.64</v>
      </c>
      <c r="D40" s="28" t="n">
        <v>28</v>
      </c>
      <c r="E40" s="38" t="n">
        <f aca="false">B40/$B$12</f>
        <v>0.0101330146108588</v>
      </c>
    </row>
    <row r="41" customFormat="false" ht="15" hidden="false" customHeight="false" outlineLevel="0" collapsed="false">
      <c r="A41" s="0" t="s">
        <v>176</v>
      </c>
      <c r="B41" s="22" t="n">
        <v>54124.24</v>
      </c>
      <c r="C41" s="22" t="n">
        <v>0</v>
      </c>
      <c r="D41" s="28" t="n">
        <v>9</v>
      </c>
      <c r="E41" s="38" t="n">
        <f aca="false">B41/$B$12</f>
        <v>0.0100739381605996</v>
      </c>
    </row>
    <row r="42" customFormat="false" ht="15" hidden="false" customHeight="false" outlineLevel="0" collapsed="false">
      <c r="A42" s="0" t="s">
        <v>177</v>
      </c>
      <c r="B42" s="22" t="n">
        <v>50555.09</v>
      </c>
      <c r="C42" s="22" t="n">
        <v>0</v>
      </c>
      <c r="D42" s="28" t="n">
        <v>5</v>
      </c>
      <c r="E42" s="38" t="n">
        <f aca="false">B42/$B$12</f>
        <v>0.00940962589707585</v>
      </c>
    </row>
    <row r="43" customFormat="false" ht="15" hidden="false" customHeight="false" outlineLevel="0" collapsed="false">
      <c r="A43" s="0" t="s">
        <v>178</v>
      </c>
      <c r="B43" s="22" t="n">
        <v>49340</v>
      </c>
      <c r="C43" s="22" t="n">
        <v>49340</v>
      </c>
      <c r="D43" s="28" t="n">
        <v>15</v>
      </c>
      <c r="E43" s="38" t="n">
        <f aca="false">B43/$B$12</f>
        <v>0.00918346583423593</v>
      </c>
    </row>
    <row r="44" customFormat="false" ht="15" hidden="false" customHeight="false" outlineLevel="0" collapsed="false">
      <c r="A44" s="0" t="s">
        <v>179</v>
      </c>
      <c r="B44" s="22" t="n">
        <v>47600</v>
      </c>
      <c r="C44" s="22" t="n">
        <v>47600</v>
      </c>
      <c r="D44" s="28" t="n">
        <v>34</v>
      </c>
      <c r="E44" s="38" t="n">
        <f aca="false">B44/$B$12</f>
        <v>0.00885960627704966</v>
      </c>
    </row>
    <row r="45" customFormat="false" ht="15" hidden="false" customHeight="false" outlineLevel="0" collapsed="false">
      <c r="A45" s="0" t="s">
        <v>180</v>
      </c>
      <c r="B45" s="22" t="n">
        <v>47197</v>
      </c>
      <c r="C45" s="22" t="n">
        <v>0</v>
      </c>
      <c r="D45" s="28" t="n">
        <v>15</v>
      </c>
      <c r="E45" s="38" t="n">
        <f aca="false">B45/$B$12</f>
        <v>0.0087845974255864</v>
      </c>
    </row>
  </sheetData>
  <mergeCells count="5">
    <mergeCell ref="A1:G1"/>
    <mergeCell ref="A2:G2"/>
    <mergeCell ref="A4:G4"/>
    <mergeCell ref="A15:G15"/>
    <mergeCell ref="A24:G24"/>
  </mergeCells>
  <conditionalFormatting sqref="B26:B45">
    <cfRule type="dataBar" priority="2">
      <dataBar showValue="1" minLength="10" maxLength="90">
        <cfvo type="min" val="0"/>
        <cfvo type="max" val="0"/>
        <color rgb="FF2563EB"/>
      </dataBar>
      <extLst>
        <ext xmlns:x14="http://schemas.microsoft.com/office/spreadsheetml/2009/9/main" uri="{B025F937-C7B1-47D3-B67F-A62EFF666E3E}">
          <x14:id>{F8CA2FB2-709B-4D27-A223-B5607AD25938}</x14:id>
        </ext>
      </extLst>
    </cfRule>
  </conditionalFormatting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CA2FB2-709B-4D27-A223-B5607AD25938}">
            <x14:dataBar minLength="10" maxLength="90" axisPosition="none" gradient="true">
              <x14:cfvo type="min"/>
              <x14:cfvo type="max"/>
              <x14:negativeFillColor rgb="FF2563EB"/>
              <x14:axisColor rgb="FF000000"/>
            </x14:dataBar>
          </x14:cfRule>
          <xm:sqref>B26:B45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34"/>
    <col collapsed="false" customWidth="true" hidden="false" outlineLevel="0" max="8" min="7" style="0" width="18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182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32" t="s">
        <v>183</v>
      </c>
      <c r="B4" s="32"/>
      <c r="C4" s="32"/>
      <c r="D4" s="32"/>
      <c r="F4" s="32" t="s">
        <v>184</v>
      </c>
      <c r="G4" s="32"/>
      <c r="H4" s="32"/>
      <c r="I4" s="32"/>
    </row>
    <row r="5" customFormat="false" ht="27.75" hidden="false" customHeight="true" outlineLevel="0" collapsed="false">
      <c r="A5" s="20" t="s">
        <v>157</v>
      </c>
      <c r="B5" s="20" t="s">
        <v>158</v>
      </c>
      <c r="C5" s="20" t="s">
        <v>159</v>
      </c>
      <c r="D5" s="20" t="s">
        <v>144</v>
      </c>
      <c r="F5" s="20" t="s">
        <v>185</v>
      </c>
      <c r="G5" s="20" t="s">
        <v>158</v>
      </c>
      <c r="H5" s="20" t="s">
        <v>159</v>
      </c>
      <c r="I5" s="20" t="s">
        <v>144</v>
      </c>
    </row>
    <row r="6" customFormat="false" ht="15" hidden="false" customHeight="false" outlineLevel="0" collapsed="false">
      <c r="A6" s="0" t="s">
        <v>161</v>
      </c>
      <c r="B6" s="22" t="n">
        <v>285281.55</v>
      </c>
      <c r="C6" s="22" t="n">
        <v>285281.55</v>
      </c>
      <c r="D6" s="28" t="n">
        <v>58</v>
      </c>
      <c r="F6" s="0" t="s">
        <v>186</v>
      </c>
      <c r="G6" s="22" t="n">
        <v>354867.91</v>
      </c>
      <c r="H6" s="22" t="n">
        <v>215979.01</v>
      </c>
      <c r="I6" s="28" t="n">
        <v>9</v>
      </c>
    </row>
    <row r="7" customFormat="false" ht="15" hidden="false" customHeight="false" outlineLevel="0" collapsed="false">
      <c r="A7" s="0" t="s">
        <v>162</v>
      </c>
      <c r="B7" s="22" t="n">
        <v>193079.92</v>
      </c>
      <c r="C7" s="22" t="n">
        <v>6307</v>
      </c>
      <c r="D7" s="28" t="n">
        <v>31</v>
      </c>
      <c r="F7" s="0" t="s">
        <v>187</v>
      </c>
      <c r="G7" s="22" t="n">
        <v>344682.7</v>
      </c>
      <c r="H7" s="22" t="n">
        <v>0</v>
      </c>
      <c r="I7" s="28" t="n">
        <v>18</v>
      </c>
    </row>
    <row r="8" customFormat="false" ht="15" hidden="false" customHeight="false" outlineLevel="0" collapsed="false">
      <c r="A8" s="0" t="s">
        <v>163</v>
      </c>
      <c r="B8" s="22" t="n">
        <v>125153.1</v>
      </c>
      <c r="C8" s="22" t="n">
        <v>63596.7</v>
      </c>
      <c r="D8" s="28" t="n">
        <v>12</v>
      </c>
      <c r="F8" s="0" t="s">
        <v>188</v>
      </c>
      <c r="G8" s="22" t="n">
        <v>333843.42</v>
      </c>
      <c r="H8" s="22" t="n">
        <v>17403.84</v>
      </c>
      <c r="I8" s="28" t="n">
        <v>77</v>
      </c>
    </row>
    <row r="9" customFormat="false" ht="15" hidden="false" customHeight="false" outlineLevel="0" collapsed="false">
      <c r="A9" s="0" t="s">
        <v>164</v>
      </c>
      <c r="B9" s="22" t="n">
        <v>113384.1</v>
      </c>
      <c r="C9" s="22" t="n">
        <v>83349.78</v>
      </c>
      <c r="D9" s="28" t="n">
        <v>51</v>
      </c>
      <c r="F9" s="0" t="s">
        <v>189</v>
      </c>
      <c r="G9" s="22" t="n">
        <v>275437.61</v>
      </c>
      <c r="H9" s="22" t="n">
        <v>275437.61</v>
      </c>
      <c r="I9" s="28" t="n">
        <v>45</v>
      </c>
    </row>
    <row r="10" customFormat="false" ht="15" hidden="false" customHeight="false" outlineLevel="0" collapsed="false">
      <c r="A10" s="0" t="s">
        <v>165</v>
      </c>
      <c r="B10" s="22" t="n">
        <v>89404</v>
      </c>
      <c r="C10" s="22" t="n">
        <v>0</v>
      </c>
      <c r="D10" s="28" t="n">
        <v>10</v>
      </c>
      <c r="F10" s="0" t="s">
        <v>190</v>
      </c>
      <c r="G10" s="22" t="n">
        <v>274577.23</v>
      </c>
      <c r="H10" s="22" t="n">
        <v>274577.23</v>
      </c>
      <c r="I10" s="28" t="n">
        <v>3</v>
      </c>
    </row>
    <row r="11" customFormat="false" ht="15" hidden="false" customHeight="false" outlineLevel="0" collapsed="false">
      <c r="A11" s="0" t="s">
        <v>166</v>
      </c>
      <c r="B11" s="22" t="n">
        <v>78061.66</v>
      </c>
      <c r="C11" s="22" t="n">
        <v>0</v>
      </c>
      <c r="D11" s="28" t="n">
        <v>27</v>
      </c>
      <c r="F11" s="0" t="s">
        <v>191</v>
      </c>
      <c r="G11" s="22" t="n">
        <v>237774.9</v>
      </c>
      <c r="H11" s="22" t="n">
        <v>25063.5</v>
      </c>
      <c r="I11" s="28" t="n">
        <v>19</v>
      </c>
    </row>
    <row r="12" customFormat="false" ht="15" hidden="false" customHeight="false" outlineLevel="0" collapsed="false">
      <c r="A12" s="0" t="s">
        <v>167</v>
      </c>
      <c r="B12" s="22" t="n">
        <v>74282.73</v>
      </c>
      <c r="C12" s="22" t="n">
        <v>41531.88</v>
      </c>
      <c r="D12" s="28" t="n">
        <v>5</v>
      </c>
      <c r="F12" s="0" t="s">
        <v>192</v>
      </c>
      <c r="G12" s="22" t="n">
        <v>154745.9</v>
      </c>
      <c r="H12" s="22" t="n">
        <v>152229.74</v>
      </c>
      <c r="I12" s="28" t="n">
        <v>4</v>
      </c>
    </row>
    <row r="13" customFormat="false" ht="15" hidden="false" customHeight="false" outlineLevel="0" collapsed="false">
      <c r="A13" s="0" t="s">
        <v>168</v>
      </c>
      <c r="B13" s="22" t="n">
        <v>68445.63</v>
      </c>
      <c r="C13" s="22" t="n">
        <v>0</v>
      </c>
      <c r="D13" s="28" t="n">
        <v>7</v>
      </c>
      <c r="F13" s="0" t="s">
        <v>193</v>
      </c>
      <c r="G13" s="22" t="n">
        <v>152847.58</v>
      </c>
      <c r="H13" s="22" t="n">
        <v>9175.62</v>
      </c>
      <c r="I13" s="28" t="n">
        <v>36</v>
      </c>
    </row>
    <row r="14" customFormat="false" ht="15" hidden="false" customHeight="false" outlineLevel="0" collapsed="false">
      <c r="A14" s="0" t="s">
        <v>169</v>
      </c>
      <c r="B14" s="22" t="n">
        <v>67040.04</v>
      </c>
      <c r="C14" s="22" t="n">
        <v>67040.04</v>
      </c>
      <c r="D14" s="28" t="n">
        <v>15</v>
      </c>
      <c r="F14" s="0" t="s">
        <v>194</v>
      </c>
      <c r="G14" s="22" t="n">
        <v>125558.76</v>
      </c>
      <c r="H14" s="22" t="n">
        <v>6085.43</v>
      </c>
      <c r="I14" s="28" t="n">
        <v>15</v>
      </c>
    </row>
    <row r="15" customFormat="false" ht="15" hidden="false" customHeight="false" outlineLevel="0" collapsed="false">
      <c r="A15" s="0" t="s">
        <v>170</v>
      </c>
      <c r="B15" s="22" t="n">
        <v>62031.4</v>
      </c>
      <c r="C15" s="22" t="n">
        <v>0</v>
      </c>
      <c r="D15" s="28" t="n">
        <v>17</v>
      </c>
      <c r="F15" s="0" t="s">
        <v>161</v>
      </c>
      <c r="G15" s="22" t="n">
        <v>108221.5</v>
      </c>
      <c r="H15" s="22" t="n">
        <v>108221.5</v>
      </c>
      <c r="I15" s="28" t="n">
        <v>5</v>
      </c>
    </row>
    <row r="16" customFormat="false" ht="15" hidden="false" customHeight="false" outlineLevel="0" collapsed="false">
      <c r="A16" s="0" t="s">
        <v>171</v>
      </c>
      <c r="B16" s="22" t="n">
        <v>61648.04</v>
      </c>
      <c r="C16" s="22" t="n">
        <v>0</v>
      </c>
      <c r="D16" s="28" t="n">
        <v>10</v>
      </c>
      <c r="F16" s="0" t="s">
        <v>195</v>
      </c>
      <c r="G16" s="22" t="n">
        <v>81508.39</v>
      </c>
      <c r="H16" s="22" t="n">
        <v>14660.73</v>
      </c>
      <c r="I16" s="28" t="n">
        <v>40</v>
      </c>
    </row>
    <row r="17" customFormat="false" ht="15" hidden="false" customHeight="false" outlineLevel="0" collapsed="false">
      <c r="A17" s="0" t="s">
        <v>172</v>
      </c>
      <c r="B17" s="22" t="n">
        <v>60065.23</v>
      </c>
      <c r="C17" s="22" t="n">
        <v>13365.75</v>
      </c>
      <c r="D17" s="28" t="n">
        <v>14</v>
      </c>
      <c r="F17" s="0" t="s">
        <v>196</v>
      </c>
      <c r="G17" s="22" t="n">
        <v>72961.39</v>
      </c>
      <c r="H17" s="22" t="n">
        <v>0</v>
      </c>
      <c r="I17" s="28" t="n">
        <v>10</v>
      </c>
    </row>
    <row r="18" customFormat="false" ht="15" hidden="false" customHeight="false" outlineLevel="0" collapsed="false">
      <c r="A18" s="0" t="s">
        <v>173</v>
      </c>
      <c r="B18" s="22" t="n">
        <v>54621.12</v>
      </c>
      <c r="C18" s="22" t="n">
        <v>0</v>
      </c>
      <c r="D18" s="28" t="n">
        <v>15</v>
      </c>
      <c r="F18" s="0" t="s">
        <v>197</v>
      </c>
      <c r="G18" s="22" t="n">
        <v>65351.71</v>
      </c>
      <c r="H18" s="22" t="n">
        <v>54338.29</v>
      </c>
      <c r="I18" s="28" t="n">
        <v>31</v>
      </c>
    </row>
    <row r="19" customFormat="false" ht="15" hidden="false" customHeight="false" outlineLevel="0" collapsed="false">
      <c r="A19" s="0" t="s">
        <v>174</v>
      </c>
      <c r="B19" s="22" t="n">
        <v>54455.33</v>
      </c>
      <c r="C19" s="22" t="n">
        <v>0</v>
      </c>
      <c r="D19" s="28" t="n">
        <v>5</v>
      </c>
      <c r="F19" s="0" t="s">
        <v>198</v>
      </c>
      <c r="G19" s="22" t="n">
        <v>60550.31</v>
      </c>
      <c r="H19" s="22" t="n">
        <v>10617.07</v>
      </c>
      <c r="I19" s="28" t="n">
        <v>22</v>
      </c>
    </row>
    <row r="20" customFormat="false" ht="15" hidden="false" customHeight="false" outlineLevel="0" collapsed="false">
      <c r="A20" s="0" t="s">
        <v>175</v>
      </c>
      <c r="B20" s="22" t="n">
        <v>54441.64</v>
      </c>
      <c r="C20" s="22" t="n">
        <v>54441.64</v>
      </c>
      <c r="D20" s="28" t="n">
        <v>28</v>
      </c>
      <c r="F20" s="0" t="s">
        <v>199</v>
      </c>
      <c r="G20" s="22" t="n">
        <v>57720</v>
      </c>
      <c r="H20" s="22" t="n">
        <v>0</v>
      </c>
      <c r="I20" s="28" t="n">
        <v>5</v>
      </c>
    </row>
    <row r="21" customFormat="false" ht="15" hidden="false" customHeight="false" outlineLevel="0" collapsed="false">
      <c r="A21" s="0" t="s">
        <v>176</v>
      </c>
      <c r="B21" s="22" t="n">
        <v>54124.24</v>
      </c>
      <c r="C21" s="22" t="n">
        <v>0</v>
      </c>
      <c r="D21" s="28" t="n">
        <v>9</v>
      </c>
      <c r="F21" s="0" t="s">
        <v>200</v>
      </c>
      <c r="G21" s="22" t="n">
        <v>56438.67</v>
      </c>
      <c r="H21" s="22" t="n">
        <v>0</v>
      </c>
      <c r="I21" s="28" t="n">
        <v>12</v>
      </c>
    </row>
    <row r="22" customFormat="false" ht="15" hidden="false" customHeight="false" outlineLevel="0" collapsed="false">
      <c r="A22" s="0" t="s">
        <v>177</v>
      </c>
      <c r="B22" s="22" t="n">
        <v>50555.09</v>
      </c>
      <c r="C22" s="22" t="n">
        <v>0</v>
      </c>
      <c r="D22" s="28" t="n">
        <v>5</v>
      </c>
      <c r="F22" s="0" t="s">
        <v>201</v>
      </c>
      <c r="G22" s="22" t="n">
        <v>50047.06</v>
      </c>
      <c r="H22" s="22" t="n">
        <v>50047.06</v>
      </c>
      <c r="I22" s="28" t="n">
        <v>30</v>
      </c>
    </row>
    <row r="23" customFormat="false" ht="15" hidden="false" customHeight="false" outlineLevel="0" collapsed="false">
      <c r="A23" s="0" t="s">
        <v>178</v>
      </c>
      <c r="B23" s="22" t="n">
        <v>49340</v>
      </c>
      <c r="C23" s="22" t="n">
        <v>49340</v>
      </c>
      <c r="D23" s="28" t="n">
        <v>15</v>
      </c>
      <c r="F23" s="0" t="s">
        <v>202</v>
      </c>
      <c r="G23" s="22" t="n">
        <v>50000</v>
      </c>
      <c r="H23" s="22" t="n">
        <v>50000</v>
      </c>
      <c r="I23" s="28" t="n">
        <v>1</v>
      </c>
    </row>
    <row r="24" customFormat="false" ht="15" hidden="false" customHeight="false" outlineLevel="0" collapsed="false">
      <c r="A24" s="0" t="s">
        <v>179</v>
      </c>
      <c r="B24" s="22" t="n">
        <v>47600</v>
      </c>
      <c r="C24" s="22" t="n">
        <v>47600</v>
      </c>
      <c r="D24" s="28" t="n">
        <v>34</v>
      </c>
      <c r="F24" s="0" t="s">
        <v>203</v>
      </c>
      <c r="G24" s="22" t="n">
        <v>45300</v>
      </c>
      <c r="H24" s="22" t="n">
        <v>27800</v>
      </c>
      <c r="I24" s="28" t="n">
        <v>5</v>
      </c>
    </row>
    <row r="25" customFormat="false" ht="15" hidden="false" customHeight="false" outlineLevel="0" collapsed="false">
      <c r="A25" s="0" t="s">
        <v>180</v>
      </c>
      <c r="B25" s="22" t="n">
        <v>47197</v>
      </c>
      <c r="C25" s="22" t="n">
        <v>0</v>
      </c>
      <c r="D25" s="28" t="n">
        <v>15</v>
      </c>
      <c r="F25" s="0" t="s">
        <v>204</v>
      </c>
      <c r="G25" s="22" t="n">
        <v>42631.42</v>
      </c>
      <c r="H25" s="22" t="n">
        <v>7418.07</v>
      </c>
      <c r="I25" s="28" t="n">
        <v>6</v>
      </c>
    </row>
    <row r="26" customFormat="false" ht="15" hidden="false" customHeight="false" outlineLevel="0" collapsed="false">
      <c r="A26" s="0" t="s">
        <v>205</v>
      </c>
      <c r="B26" s="22" t="n">
        <v>46689.85</v>
      </c>
      <c r="C26" s="22" t="n">
        <v>0</v>
      </c>
      <c r="D26" s="28" t="n">
        <v>9</v>
      </c>
      <c r="F26" s="0" t="s">
        <v>206</v>
      </c>
      <c r="G26" s="22" t="n">
        <v>38783.91</v>
      </c>
      <c r="H26" s="22" t="n">
        <v>0</v>
      </c>
      <c r="I26" s="28" t="n">
        <v>11</v>
      </c>
    </row>
    <row r="27" customFormat="false" ht="15" hidden="false" customHeight="false" outlineLevel="0" collapsed="false">
      <c r="A27" s="0" t="s">
        <v>207</v>
      </c>
      <c r="B27" s="22" t="n">
        <v>45691</v>
      </c>
      <c r="C27" s="22" t="n">
        <v>0</v>
      </c>
      <c r="D27" s="28" t="n">
        <v>8</v>
      </c>
      <c r="F27" s="0" t="s">
        <v>208</v>
      </c>
      <c r="G27" s="22" t="n">
        <v>36153.66</v>
      </c>
      <c r="H27" s="22" t="n">
        <v>6025.61</v>
      </c>
      <c r="I27" s="28" t="n">
        <v>6</v>
      </c>
    </row>
    <row r="28" customFormat="false" ht="15" hidden="false" customHeight="false" outlineLevel="0" collapsed="false">
      <c r="A28" s="0" t="s">
        <v>209</v>
      </c>
      <c r="B28" s="22" t="n">
        <v>42712</v>
      </c>
      <c r="C28" s="22" t="n">
        <v>0</v>
      </c>
      <c r="D28" s="28" t="n">
        <v>4</v>
      </c>
      <c r="F28" s="0" t="s">
        <v>210</v>
      </c>
      <c r="G28" s="22" t="n">
        <v>34521.24</v>
      </c>
      <c r="H28" s="22" t="n">
        <v>0</v>
      </c>
      <c r="I28" s="28" t="n">
        <v>1</v>
      </c>
    </row>
    <row r="29" customFormat="false" ht="15" hidden="false" customHeight="false" outlineLevel="0" collapsed="false">
      <c r="A29" s="0" t="s">
        <v>211</v>
      </c>
      <c r="B29" s="22" t="n">
        <v>41624.68</v>
      </c>
      <c r="C29" s="22" t="n">
        <v>7729</v>
      </c>
      <c r="D29" s="28" t="n">
        <v>6</v>
      </c>
      <c r="F29" s="0" t="s">
        <v>212</v>
      </c>
      <c r="G29" s="22" t="n">
        <v>27164.33</v>
      </c>
      <c r="H29" s="22" t="n">
        <v>27164.33</v>
      </c>
      <c r="I29" s="28" t="n">
        <v>11</v>
      </c>
    </row>
    <row r="30" customFormat="false" ht="15" hidden="false" customHeight="false" outlineLevel="0" collapsed="false">
      <c r="A30" s="0" t="s">
        <v>213</v>
      </c>
      <c r="B30" s="22" t="n">
        <v>41383.6</v>
      </c>
      <c r="C30" s="22" t="n">
        <v>3872.4</v>
      </c>
      <c r="D30" s="28" t="n">
        <v>14</v>
      </c>
      <c r="F30" s="0" t="s">
        <v>214</v>
      </c>
      <c r="G30" s="22" t="n">
        <v>24508.87</v>
      </c>
      <c r="H30" s="22" t="n">
        <v>24508.87</v>
      </c>
      <c r="I30" s="28" t="n">
        <v>22</v>
      </c>
    </row>
    <row r="31" customFormat="false" ht="15" hidden="false" customHeight="false" outlineLevel="0" collapsed="false">
      <c r="A31" s="0" t="s">
        <v>215</v>
      </c>
      <c r="B31" s="22" t="n">
        <v>40736.62</v>
      </c>
      <c r="C31" s="22" t="n">
        <v>40736.62</v>
      </c>
      <c r="D31" s="28" t="n">
        <v>9</v>
      </c>
      <c r="F31" s="0" t="s">
        <v>216</v>
      </c>
      <c r="G31" s="22" t="n">
        <v>24000</v>
      </c>
      <c r="H31" s="22" t="n">
        <v>24000</v>
      </c>
      <c r="I31" s="28" t="n">
        <v>1</v>
      </c>
    </row>
    <row r="32" customFormat="false" ht="15" hidden="false" customHeight="false" outlineLevel="0" collapsed="false">
      <c r="A32" s="0" t="s">
        <v>217</v>
      </c>
      <c r="B32" s="22" t="n">
        <v>40608.13</v>
      </c>
      <c r="C32" s="22" t="n">
        <v>40608.13</v>
      </c>
      <c r="D32" s="28" t="n">
        <v>15</v>
      </c>
      <c r="F32" s="0" t="s">
        <v>218</v>
      </c>
      <c r="G32" s="22" t="n">
        <v>23087.53</v>
      </c>
      <c r="H32" s="22" t="n">
        <v>23087.53</v>
      </c>
      <c r="I32" s="28" t="n">
        <v>6</v>
      </c>
    </row>
    <row r="33" customFormat="false" ht="15" hidden="false" customHeight="false" outlineLevel="0" collapsed="false">
      <c r="A33" s="0" t="s">
        <v>219</v>
      </c>
      <c r="B33" s="22" t="n">
        <v>40348</v>
      </c>
      <c r="C33" s="22" t="n">
        <v>0</v>
      </c>
      <c r="D33" s="28" t="n">
        <v>19</v>
      </c>
      <c r="F33" s="0" t="s">
        <v>220</v>
      </c>
      <c r="G33" s="22" t="n">
        <v>22321.48</v>
      </c>
      <c r="H33" s="22" t="n">
        <v>5028.99</v>
      </c>
      <c r="I33" s="28" t="n">
        <v>13</v>
      </c>
    </row>
    <row r="34" customFormat="false" ht="15" hidden="false" customHeight="false" outlineLevel="0" collapsed="false">
      <c r="A34" s="0" t="s">
        <v>221</v>
      </c>
      <c r="B34" s="22" t="n">
        <v>38525.39</v>
      </c>
      <c r="C34" s="22" t="n">
        <v>38525.39</v>
      </c>
      <c r="D34" s="28" t="n">
        <v>4</v>
      </c>
      <c r="F34" s="0" t="s">
        <v>222</v>
      </c>
      <c r="G34" s="22" t="n">
        <v>22000</v>
      </c>
      <c r="H34" s="22" t="n">
        <v>22000</v>
      </c>
      <c r="I34" s="28" t="n">
        <v>2</v>
      </c>
    </row>
    <row r="35" customFormat="false" ht="15" hidden="false" customHeight="false" outlineLevel="0" collapsed="false">
      <c r="A35" s="0" t="s">
        <v>223</v>
      </c>
      <c r="B35" s="22" t="n">
        <v>38483.9</v>
      </c>
      <c r="C35" s="22" t="n">
        <v>0</v>
      </c>
      <c r="D35" s="28" t="n">
        <v>9</v>
      </c>
      <c r="F35" s="0" t="s">
        <v>224</v>
      </c>
      <c r="G35" s="22" t="n">
        <v>19520</v>
      </c>
      <c r="H35" s="22" t="n">
        <v>0</v>
      </c>
      <c r="I35" s="28" t="n">
        <v>2</v>
      </c>
    </row>
  </sheetData>
  <mergeCells count="4">
    <mergeCell ref="A1:I1"/>
    <mergeCell ref="A2:I2"/>
    <mergeCell ref="A4:D4"/>
    <mergeCell ref="F4:I4"/>
  </mergeCells>
  <conditionalFormatting sqref="B6:B35">
    <cfRule type="dataBar" priority="2">
      <dataBar showValue="1" minLength="10" maxLength="90">
        <cfvo type="min" val="0"/>
        <cfvo type="max" val="0"/>
        <color rgb="FF2563EB"/>
      </dataBar>
      <extLst>
        <ext xmlns:x14="http://schemas.microsoft.com/office/spreadsheetml/2009/9/main" uri="{B025F937-C7B1-47D3-B67F-A62EFF666E3E}">
          <x14:id>{75757899-1CFB-4A96-B42A-3DC61595EACF}</x14:id>
        </ext>
      </extLst>
    </cfRule>
  </conditionalFormatting>
  <conditionalFormatting sqref="G6:G35">
    <cfRule type="dataBar" priority="3">
      <dataBar showValue="1" minLength="10" maxLength="90">
        <cfvo type="min" val="0"/>
        <cfvo type="max" val="0"/>
        <color rgb="FFF59E0B"/>
      </dataBar>
      <extLst>
        <ext xmlns:x14="http://schemas.microsoft.com/office/spreadsheetml/2009/9/main" uri="{B025F937-C7B1-47D3-B67F-A62EFF666E3E}">
          <x14:id>{79EE00D5-D1B3-4FD0-8D5E-D8E710E23528}</x14:id>
        </ext>
      </extLst>
    </cfRule>
  </conditionalFormatting>
  <printOptions headings="false" gridLines="false" gridLinesSet="true" horizontalCentered="false" verticalCentered="false"/>
  <pageMargins left="0.25" right="0.25" top="0.4" bottom="0.4" header="0.511811023622047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757899-1CFB-4A96-B42A-3DC61595EACF}">
            <x14:dataBar minLength="10" maxLength="90" axisPosition="none" gradient="true">
              <x14:cfvo type="min"/>
              <x14:cfvo type="max"/>
              <x14:negativeFillColor rgb="FF2563EB"/>
              <x14:axisColor rgb="FF000000"/>
            </x14:dataBar>
          </x14:cfRule>
          <xm:sqref>B6:B35</xm:sqref>
        </x14:conditionalFormatting>
        <x14:conditionalFormatting xmlns:xm="http://schemas.microsoft.com/office/excel/2006/main">
          <x14:cfRule type="dataBar" id="{79EE00D5-D1B3-4FD0-8D5E-D8E710E23528}">
            <x14:dataBar minLength="10" maxLength="90" axisPosition="none" gradient="true">
              <x14:cfvo type="min"/>
              <x14:cfvo type="max"/>
              <x14:negativeFillColor rgb="FFF59E0B"/>
              <x14:axisColor rgb="FF000000"/>
            </x14:dataBar>
          </x14:cfRule>
          <xm:sqref>G6:G35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225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226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20" t="s">
        <v>227</v>
      </c>
      <c r="B4" s="20" t="s">
        <v>228</v>
      </c>
      <c r="C4" s="20" t="s">
        <v>229</v>
      </c>
      <c r="D4" s="20" t="s">
        <v>230</v>
      </c>
      <c r="E4" s="20" t="s">
        <v>231</v>
      </c>
      <c r="F4" s="20" t="s">
        <v>41</v>
      </c>
    </row>
    <row r="5" customFormat="false" ht="15" hidden="false" customHeight="false" outlineLevel="0" collapsed="false">
      <c r="A5" s="0" t="s">
        <v>232</v>
      </c>
      <c r="B5" s="0" t="s">
        <v>233</v>
      </c>
      <c r="C5" s="22" t="n">
        <v>22825305.44</v>
      </c>
      <c r="D5" s="22" t="n">
        <v>22293767.15</v>
      </c>
      <c r="E5" s="22" t="n">
        <v>691168.7</v>
      </c>
      <c r="F5" s="28" t="n">
        <v>1776</v>
      </c>
    </row>
    <row r="6" customFormat="false" ht="15" hidden="false" customHeight="false" outlineLevel="0" collapsed="false">
      <c r="A6" s="0" t="s">
        <v>234</v>
      </c>
      <c r="B6" s="0" t="s">
        <v>235</v>
      </c>
      <c r="C6" s="22" t="n">
        <v>17297206.56</v>
      </c>
      <c r="D6" s="22" t="n">
        <v>16479123.99</v>
      </c>
      <c r="E6" s="22" t="n">
        <v>870050.56</v>
      </c>
      <c r="F6" s="28" t="n">
        <v>4228</v>
      </c>
    </row>
    <row r="7" customFormat="false" ht="15" hidden="false" customHeight="false" outlineLevel="0" collapsed="false">
      <c r="A7" s="0" t="s">
        <v>236</v>
      </c>
      <c r="B7" s="0" t="s">
        <v>237</v>
      </c>
      <c r="C7" s="22" t="n">
        <v>10415378.56</v>
      </c>
      <c r="D7" s="22" t="n">
        <v>6738632.44</v>
      </c>
      <c r="E7" s="22" t="n">
        <v>451678.55</v>
      </c>
      <c r="F7" s="28" t="n">
        <v>3480</v>
      </c>
    </row>
    <row r="8" customFormat="false" ht="15" hidden="false" customHeight="false" outlineLevel="0" collapsed="false">
      <c r="A8" s="0" t="s">
        <v>238</v>
      </c>
      <c r="B8" s="0" t="s">
        <v>239</v>
      </c>
      <c r="C8" s="22" t="n">
        <v>5929785.17</v>
      </c>
      <c r="D8" s="22" t="n">
        <v>5817659.54</v>
      </c>
      <c r="E8" s="22" t="n">
        <v>112125.63</v>
      </c>
      <c r="F8" s="28" t="n">
        <v>144</v>
      </c>
    </row>
    <row r="9" customFormat="false" ht="15" hidden="false" customHeight="false" outlineLevel="0" collapsed="false">
      <c r="A9" s="0" t="s">
        <v>240</v>
      </c>
      <c r="B9" s="0" t="s">
        <v>241</v>
      </c>
      <c r="C9" s="22" t="n">
        <v>5624156.66</v>
      </c>
      <c r="D9" s="22" t="n">
        <v>5241334.39</v>
      </c>
      <c r="E9" s="22" t="n">
        <v>383115.01</v>
      </c>
      <c r="F9" s="28" t="n">
        <v>1673</v>
      </c>
    </row>
    <row r="10" customFormat="false" ht="15" hidden="false" customHeight="false" outlineLevel="0" collapsed="false">
      <c r="A10" s="0" t="s">
        <v>242</v>
      </c>
      <c r="B10" s="0" t="s">
        <v>243</v>
      </c>
      <c r="C10" s="22" t="n">
        <v>5172829.98</v>
      </c>
      <c r="D10" s="22" t="n">
        <v>4944163.8</v>
      </c>
      <c r="E10" s="22" t="n">
        <v>225891.69</v>
      </c>
      <c r="F10" s="28" t="n">
        <v>1838</v>
      </c>
    </row>
    <row r="11" customFormat="false" ht="15" hidden="false" customHeight="false" outlineLevel="0" collapsed="false">
      <c r="A11" s="0" t="s">
        <v>244</v>
      </c>
      <c r="B11" s="0" t="s">
        <v>245</v>
      </c>
      <c r="C11" s="22" t="n">
        <v>5090051.58</v>
      </c>
      <c r="D11" s="22" t="n">
        <v>4724845.1</v>
      </c>
      <c r="E11" s="22" t="n">
        <v>406804.81</v>
      </c>
      <c r="F11" s="28" t="n">
        <v>1652</v>
      </c>
    </row>
    <row r="12" customFormat="false" ht="15" hidden="false" customHeight="false" outlineLevel="0" collapsed="false">
      <c r="A12" s="0" t="s">
        <v>246</v>
      </c>
      <c r="B12" s="0" t="s">
        <v>247</v>
      </c>
      <c r="C12" s="22" t="n">
        <v>2766716.94</v>
      </c>
      <c r="D12" s="22" t="n">
        <v>2730253.98</v>
      </c>
      <c r="E12" s="22" t="n">
        <v>28804.35</v>
      </c>
      <c r="F12" s="28" t="n">
        <v>1192</v>
      </c>
    </row>
    <row r="13" customFormat="false" ht="15" hidden="false" customHeight="false" outlineLevel="0" collapsed="false">
      <c r="A13" s="0" t="s">
        <v>248</v>
      </c>
      <c r="B13" s="0" t="s">
        <v>249</v>
      </c>
      <c r="C13" s="22" t="n">
        <v>2755061.76</v>
      </c>
      <c r="D13" s="22" t="n">
        <v>2556161.62</v>
      </c>
      <c r="E13" s="22" t="n">
        <v>128678.43</v>
      </c>
      <c r="F13" s="28" t="n">
        <v>1886</v>
      </c>
    </row>
    <row r="14" customFormat="false" ht="15" hidden="false" customHeight="false" outlineLevel="0" collapsed="false">
      <c r="A14" s="0" t="s">
        <v>250</v>
      </c>
      <c r="B14" s="0" t="s">
        <v>251</v>
      </c>
      <c r="C14" s="22" t="n">
        <v>2718421.33</v>
      </c>
      <c r="D14" s="22" t="n">
        <v>2686799.27</v>
      </c>
      <c r="E14" s="22" t="n">
        <v>28044.8</v>
      </c>
      <c r="F14" s="28" t="n">
        <v>4250</v>
      </c>
    </row>
    <row r="15" customFormat="false" ht="15" hidden="false" customHeight="false" outlineLevel="0" collapsed="false">
      <c r="A15" s="0" t="s">
        <v>252</v>
      </c>
      <c r="B15" s="0" t="s">
        <v>253</v>
      </c>
      <c r="C15" s="22" t="n">
        <v>1890349.93</v>
      </c>
      <c r="D15" s="22" t="n">
        <v>1888577.65</v>
      </c>
      <c r="E15" s="22" t="n">
        <v>1750.1</v>
      </c>
      <c r="F15" s="28" t="n">
        <v>215</v>
      </c>
    </row>
    <row r="16" customFormat="false" ht="15" hidden="false" customHeight="false" outlineLevel="0" collapsed="false">
      <c r="A16" s="0" t="s">
        <v>254</v>
      </c>
      <c r="B16" s="0" t="s">
        <v>255</v>
      </c>
      <c r="C16" s="22" t="n">
        <v>1656047.95</v>
      </c>
      <c r="D16" s="22" t="n">
        <v>157267.02</v>
      </c>
      <c r="E16" s="22" t="n">
        <v>13509.5</v>
      </c>
      <c r="F16" s="28" t="n">
        <v>396</v>
      </c>
    </row>
    <row r="17" customFormat="false" ht="15" hidden="false" customHeight="false" outlineLevel="0" collapsed="false">
      <c r="A17" s="0" t="s">
        <v>256</v>
      </c>
      <c r="B17" s="0" t="s">
        <v>257</v>
      </c>
      <c r="C17" s="22" t="n">
        <v>1300000</v>
      </c>
      <c r="D17" s="22" t="n">
        <v>1300000</v>
      </c>
      <c r="E17" s="22" t="n">
        <v>0</v>
      </c>
      <c r="F17" s="28" t="n">
        <v>14</v>
      </c>
    </row>
    <row r="18" customFormat="false" ht="15" hidden="false" customHeight="false" outlineLevel="0" collapsed="false">
      <c r="A18" s="0" t="s">
        <v>258</v>
      </c>
      <c r="B18" s="0" t="s">
        <v>259</v>
      </c>
      <c r="C18" s="22" t="n">
        <v>1036676.22</v>
      </c>
      <c r="D18" s="22" t="n">
        <v>1046307.29</v>
      </c>
      <c r="E18" s="22" t="n">
        <v>174073.36</v>
      </c>
      <c r="F18" s="28" t="n">
        <v>202</v>
      </c>
    </row>
    <row r="19" customFormat="false" ht="15" hidden="false" customHeight="false" outlineLevel="0" collapsed="false">
      <c r="A19" s="0" t="s">
        <v>260</v>
      </c>
      <c r="B19" s="0" t="s">
        <v>261</v>
      </c>
      <c r="C19" s="22" t="n">
        <v>815329.37</v>
      </c>
      <c r="D19" s="22" t="n">
        <v>752309.1</v>
      </c>
      <c r="E19" s="22" t="n">
        <v>61618.92</v>
      </c>
      <c r="F19" s="28" t="n">
        <v>342</v>
      </c>
    </row>
    <row r="20" customFormat="false" ht="15" hidden="false" customHeight="false" outlineLevel="0" collapsed="false">
      <c r="A20" s="0" t="s">
        <v>262</v>
      </c>
      <c r="B20" s="0" t="s">
        <v>263</v>
      </c>
      <c r="C20" s="22" t="n">
        <v>789064.84</v>
      </c>
      <c r="D20" s="22" t="n">
        <v>781677.77</v>
      </c>
      <c r="E20" s="22" t="n">
        <v>6886</v>
      </c>
      <c r="F20" s="28" t="n">
        <v>750</v>
      </c>
    </row>
    <row r="21" customFormat="false" ht="15" hidden="false" customHeight="false" outlineLevel="0" collapsed="false">
      <c r="A21" s="0" t="s">
        <v>264</v>
      </c>
      <c r="B21" s="0" t="s">
        <v>265</v>
      </c>
      <c r="C21" s="22" t="n">
        <v>557080.17</v>
      </c>
      <c r="D21" s="22" t="n">
        <v>556052.55</v>
      </c>
      <c r="E21" s="22" t="n">
        <v>1755</v>
      </c>
      <c r="F21" s="28" t="n">
        <v>371</v>
      </c>
    </row>
    <row r="22" customFormat="false" ht="15" hidden="false" customHeight="false" outlineLevel="0" collapsed="false">
      <c r="A22" s="0" t="s">
        <v>266</v>
      </c>
      <c r="B22" s="0" t="s">
        <v>267</v>
      </c>
      <c r="C22" s="22" t="n">
        <v>464934.81</v>
      </c>
      <c r="D22" s="22" t="n">
        <v>453176.56</v>
      </c>
      <c r="E22" s="22" t="n">
        <v>11221.53</v>
      </c>
      <c r="F22" s="28" t="n">
        <v>186</v>
      </c>
    </row>
    <row r="23" customFormat="false" ht="15" hidden="false" customHeight="false" outlineLevel="0" collapsed="false">
      <c r="A23" s="0" t="s">
        <v>268</v>
      </c>
      <c r="B23" s="0" t="s">
        <v>269</v>
      </c>
      <c r="C23" s="22" t="n">
        <v>427877.25</v>
      </c>
      <c r="D23" s="22" t="n">
        <v>426055</v>
      </c>
      <c r="E23" s="22" t="n">
        <v>1822.25</v>
      </c>
      <c r="F23" s="28" t="n">
        <v>44</v>
      </c>
    </row>
    <row r="24" customFormat="false" ht="15" hidden="false" customHeight="false" outlineLevel="0" collapsed="false">
      <c r="A24" s="0" t="s">
        <v>270</v>
      </c>
      <c r="B24" s="0" t="s">
        <v>271</v>
      </c>
      <c r="C24" s="22" t="n">
        <v>276250.41</v>
      </c>
      <c r="D24" s="22" t="n">
        <v>219675.1</v>
      </c>
      <c r="E24" s="22" t="n">
        <v>52567.94</v>
      </c>
      <c r="F24" s="28" t="n">
        <v>310</v>
      </c>
    </row>
    <row r="25" customFormat="false" ht="15" hidden="false" customHeight="false" outlineLevel="0" collapsed="false">
      <c r="A25" s="0" t="s">
        <v>272</v>
      </c>
      <c r="B25" s="0" t="s">
        <v>273</v>
      </c>
      <c r="C25" s="22" t="n">
        <v>267797.26</v>
      </c>
      <c r="D25" s="22" t="n">
        <v>247335.27</v>
      </c>
      <c r="E25" s="22" t="n">
        <v>416</v>
      </c>
      <c r="F25" s="28" t="n">
        <v>102</v>
      </c>
    </row>
    <row r="26" customFormat="false" ht="15" hidden="false" customHeight="false" outlineLevel="0" collapsed="false">
      <c r="A26" s="0" t="s">
        <v>274</v>
      </c>
      <c r="B26" s="0" t="s">
        <v>275</v>
      </c>
      <c r="C26" s="22" t="n">
        <v>203513.12</v>
      </c>
      <c r="D26" s="22" t="n">
        <v>194614.22</v>
      </c>
      <c r="E26" s="22" t="n">
        <v>8386.43</v>
      </c>
      <c r="F26" s="28" t="n">
        <v>180</v>
      </c>
    </row>
    <row r="27" customFormat="false" ht="15" hidden="false" customHeight="false" outlineLevel="0" collapsed="false">
      <c r="A27" s="0" t="s">
        <v>276</v>
      </c>
      <c r="B27" s="0" t="s">
        <v>277</v>
      </c>
      <c r="C27" s="22" t="n">
        <v>193757.52</v>
      </c>
      <c r="D27" s="22" t="n">
        <v>170387.18</v>
      </c>
      <c r="E27" s="22" t="n">
        <v>36153.66</v>
      </c>
      <c r="F27" s="28" t="n">
        <v>32</v>
      </c>
    </row>
    <row r="28" customFormat="false" ht="15" hidden="false" customHeight="false" outlineLevel="0" collapsed="false">
      <c r="A28" s="0" t="s">
        <v>278</v>
      </c>
      <c r="B28" s="0" t="s">
        <v>279</v>
      </c>
      <c r="C28" s="22" t="n">
        <v>191998.04</v>
      </c>
      <c r="D28" s="22" t="n">
        <v>179494.01</v>
      </c>
      <c r="E28" s="22" t="n">
        <v>12520.15</v>
      </c>
      <c r="F28" s="28" t="n">
        <v>297</v>
      </c>
    </row>
    <row r="29" customFormat="false" ht="15" hidden="false" customHeight="false" outlineLevel="0" collapsed="false">
      <c r="A29" s="0" t="s">
        <v>280</v>
      </c>
      <c r="B29" s="0" t="s">
        <v>281</v>
      </c>
      <c r="C29" s="22" t="n">
        <v>174933.98</v>
      </c>
      <c r="D29" s="22" t="n">
        <v>160883.95</v>
      </c>
      <c r="E29" s="22" t="n">
        <v>14088.82</v>
      </c>
      <c r="F29" s="28" t="n">
        <v>257</v>
      </c>
    </row>
    <row r="30" customFormat="false" ht="15" hidden="false" customHeight="false" outlineLevel="0" collapsed="false">
      <c r="A30" s="0" t="s">
        <v>282</v>
      </c>
      <c r="B30" s="0" t="s">
        <v>283</v>
      </c>
      <c r="C30" s="22" t="n">
        <v>160962.92</v>
      </c>
      <c r="D30" s="22" t="n">
        <v>151479.13</v>
      </c>
      <c r="E30" s="22" t="n">
        <v>9325.34</v>
      </c>
      <c r="F30" s="28" t="n">
        <v>281</v>
      </c>
    </row>
    <row r="31" customFormat="false" ht="15" hidden="false" customHeight="false" outlineLevel="0" collapsed="false">
      <c r="A31" s="0" t="s">
        <v>284</v>
      </c>
      <c r="B31" s="0" t="s">
        <v>285</v>
      </c>
      <c r="C31" s="22" t="n">
        <v>151967.03</v>
      </c>
      <c r="D31" s="22" t="n">
        <v>150959.03</v>
      </c>
      <c r="E31" s="22" t="n">
        <v>1008</v>
      </c>
      <c r="F31" s="28" t="n">
        <v>210</v>
      </c>
    </row>
    <row r="32" customFormat="false" ht="15" hidden="false" customHeight="false" outlineLevel="0" collapsed="false">
      <c r="A32" s="0" t="s">
        <v>286</v>
      </c>
      <c r="B32" s="0" t="s">
        <v>287</v>
      </c>
      <c r="C32" s="22" t="n">
        <v>150628.36</v>
      </c>
      <c r="D32" s="22" t="n">
        <v>147911.3</v>
      </c>
      <c r="E32" s="22" t="n">
        <v>2709.14</v>
      </c>
      <c r="F32" s="28" t="n">
        <v>340</v>
      </c>
    </row>
    <row r="33" customFormat="false" ht="15" hidden="false" customHeight="false" outlineLevel="0" collapsed="false">
      <c r="A33" s="0" t="s">
        <v>288</v>
      </c>
      <c r="B33" s="0" t="s">
        <v>289</v>
      </c>
      <c r="C33" s="22" t="n">
        <v>148611.9</v>
      </c>
      <c r="D33" s="22" t="n">
        <v>140284.44</v>
      </c>
      <c r="E33" s="22" t="n">
        <v>8327.46</v>
      </c>
      <c r="F33" s="28" t="n">
        <v>150</v>
      </c>
    </row>
    <row r="34" customFormat="false" ht="15" hidden="false" customHeight="false" outlineLevel="0" collapsed="false">
      <c r="A34" s="0" t="s">
        <v>290</v>
      </c>
      <c r="B34" s="0" t="s">
        <v>291</v>
      </c>
      <c r="C34" s="22" t="n">
        <v>145094.7</v>
      </c>
      <c r="D34" s="22" t="n">
        <v>144290.64</v>
      </c>
      <c r="E34" s="22" t="n">
        <v>768.59</v>
      </c>
      <c r="F34" s="28" t="n">
        <v>70</v>
      </c>
    </row>
    <row r="35" customFormat="false" ht="15" hidden="false" customHeight="false" outlineLevel="0" collapsed="false">
      <c r="A35" s="0" t="s">
        <v>292</v>
      </c>
      <c r="B35" s="0" t="s">
        <v>293</v>
      </c>
      <c r="C35" s="22" t="n">
        <v>139698.85</v>
      </c>
      <c r="D35" s="22" t="n">
        <v>121528.14</v>
      </c>
      <c r="E35" s="22" t="n">
        <v>18151.16</v>
      </c>
      <c r="F35" s="28" t="n">
        <v>212</v>
      </c>
    </row>
    <row r="36" customFormat="false" ht="15" hidden="false" customHeight="false" outlineLevel="0" collapsed="false">
      <c r="A36" s="0" t="s">
        <v>294</v>
      </c>
      <c r="B36" s="0" t="s">
        <v>295</v>
      </c>
      <c r="C36" s="22" t="n">
        <v>131663.92</v>
      </c>
      <c r="D36" s="22" t="n">
        <v>125601.67</v>
      </c>
      <c r="E36" s="22" t="n">
        <v>6062.29</v>
      </c>
      <c r="F36" s="28" t="n">
        <v>149</v>
      </c>
    </row>
    <row r="37" customFormat="false" ht="15" hidden="false" customHeight="false" outlineLevel="0" collapsed="false">
      <c r="A37" s="0" t="s">
        <v>296</v>
      </c>
      <c r="B37" s="0" t="s">
        <v>297</v>
      </c>
      <c r="C37" s="22" t="n">
        <v>127963.6</v>
      </c>
      <c r="D37" s="22" t="n">
        <v>122460.5</v>
      </c>
      <c r="E37" s="22" t="n">
        <v>5370.31</v>
      </c>
      <c r="F37" s="28" t="n">
        <v>213</v>
      </c>
    </row>
    <row r="38" customFormat="false" ht="15" hidden="false" customHeight="false" outlineLevel="0" collapsed="false">
      <c r="A38" s="0" t="s">
        <v>298</v>
      </c>
      <c r="B38" s="0" t="s">
        <v>299</v>
      </c>
      <c r="C38" s="22" t="n">
        <v>120502.63</v>
      </c>
      <c r="D38" s="22" t="n">
        <v>112894.75</v>
      </c>
      <c r="E38" s="22" t="n">
        <v>7452.73</v>
      </c>
      <c r="F38" s="28" t="n">
        <v>169</v>
      </c>
    </row>
    <row r="39" customFormat="false" ht="15" hidden="false" customHeight="false" outlineLevel="0" collapsed="false">
      <c r="A39" s="0" t="s">
        <v>300</v>
      </c>
      <c r="B39" s="0" t="s">
        <v>301</v>
      </c>
      <c r="C39" s="22" t="n">
        <v>115682.84</v>
      </c>
      <c r="D39" s="22" t="n">
        <v>115477.55</v>
      </c>
      <c r="E39" s="22" t="n">
        <v>205.42</v>
      </c>
      <c r="F39" s="28" t="n">
        <v>33</v>
      </c>
    </row>
    <row r="40" customFormat="false" ht="15" hidden="false" customHeight="false" outlineLevel="0" collapsed="false">
      <c r="A40" s="0" t="s">
        <v>302</v>
      </c>
      <c r="B40" s="0" t="s">
        <v>303</v>
      </c>
      <c r="C40" s="22" t="n">
        <v>113034.58</v>
      </c>
      <c r="D40" s="22" t="n">
        <v>94043.01</v>
      </c>
      <c r="E40" s="22" t="n">
        <v>18951.01</v>
      </c>
      <c r="F40" s="28" t="n">
        <v>200</v>
      </c>
    </row>
    <row r="41" customFormat="false" ht="15" hidden="false" customHeight="false" outlineLevel="0" collapsed="false">
      <c r="A41" s="0" t="s">
        <v>304</v>
      </c>
      <c r="B41" s="0" t="s">
        <v>305</v>
      </c>
      <c r="C41" s="22" t="n">
        <v>100111.14</v>
      </c>
      <c r="D41" s="22" t="n">
        <v>99477.48</v>
      </c>
      <c r="E41" s="22" t="n">
        <v>613.99</v>
      </c>
      <c r="F41" s="28" t="n">
        <v>49</v>
      </c>
    </row>
    <row r="42" customFormat="false" ht="15" hidden="false" customHeight="false" outlineLevel="0" collapsed="false">
      <c r="A42" s="0" t="s">
        <v>306</v>
      </c>
      <c r="B42" s="0" t="s">
        <v>307</v>
      </c>
      <c r="C42" s="22" t="n">
        <v>97089.57</v>
      </c>
      <c r="D42" s="22" t="n">
        <v>97042.98</v>
      </c>
      <c r="E42" s="22" t="n">
        <v>0</v>
      </c>
      <c r="F42" s="28" t="n">
        <v>45</v>
      </c>
    </row>
    <row r="43" customFormat="false" ht="15" hidden="false" customHeight="false" outlineLevel="0" collapsed="false">
      <c r="A43" s="0" t="s">
        <v>308</v>
      </c>
      <c r="B43" s="0" t="s">
        <v>309</v>
      </c>
      <c r="C43" s="22" t="n">
        <v>96314.41</v>
      </c>
      <c r="D43" s="22" t="n">
        <v>96315.6</v>
      </c>
      <c r="E43" s="22" t="n">
        <v>0</v>
      </c>
      <c r="F43" s="28" t="n">
        <v>24</v>
      </c>
    </row>
    <row r="44" customFormat="false" ht="15" hidden="false" customHeight="false" outlineLevel="0" collapsed="false">
      <c r="A44" s="0" t="s">
        <v>310</v>
      </c>
      <c r="B44" s="0" t="s">
        <v>311</v>
      </c>
      <c r="C44" s="22" t="n">
        <v>96044.08</v>
      </c>
      <c r="D44" s="22" t="n">
        <v>95290.83</v>
      </c>
      <c r="E44" s="22" t="n">
        <v>989.5</v>
      </c>
      <c r="F44" s="28" t="n">
        <v>227</v>
      </c>
    </row>
    <row r="45" customFormat="false" ht="15" hidden="false" customHeight="false" outlineLevel="0" collapsed="false">
      <c r="A45" s="0" t="s">
        <v>312</v>
      </c>
      <c r="B45" s="0" t="s">
        <v>313</v>
      </c>
      <c r="C45" s="22" t="n">
        <v>95201.34</v>
      </c>
      <c r="D45" s="22" t="n">
        <v>82109.71</v>
      </c>
      <c r="E45" s="22" t="n">
        <v>12932.48</v>
      </c>
      <c r="F45" s="28" t="n">
        <v>221</v>
      </c>
    </row>
    <row r="46" customFormat="false" ht="15" hidden="false" customHeight="false" outlineLevel="0" collapsed="false">
      <c r="C46" s="22" t="n">
        <v>84067.79</v>
      </c>
      <c r="D46" s="22" t="n">
        <v>6764.81</v>
      </c>
      <c r="E46" s="22" t="n">
        <v>1000</v>
      </c>
      <c r="F46" s="28" t="n">
        <v>10</v>
      </c>
    </row>
    <row r="47" customFormat="false" ht="15" hidden="false" customHeight="false" outlineLevel="0" collapsed="false">
      <c r="A47" s="0" t="s">
        <v>314</v>
      </c>
      <c r="B47" s="0" t="s">
        <v>315</v>
      </c>
      <c r="C47" s="22" t="n">
        <v>84042.85</v>
      </c>
      <c r="D47" s="22" t="n">
        <v>83530.35</v>
      </c>
      <c r="E47" s="22" t="n">
        <v>500.21</v>
      </c>
      <c r="F47" s="28" t="n">
        <v>149</v>
      </c>
    </row>
    <row r="48" customFormat="false" ht="15" hidden="false" customHeight="false" outlineLevel="0" collapsed="false">
      <c r="A48" s="0" t="s">
        <v>316</v>
      </c>
      <c r="B48" s="0" t="s">
        <v>317</v>
      </c>
      <c r="C48" s="22" t="n">
        <v>83138.1</v>
      </c>
      <c r="D48" s="22" t="n">
        <v>80583.16</v>
      </c>
      <c r="E48" s="22" t="n">
        <v>2554.94</v>
      </c>
      <c r="F48" s="28" t="n">
        <v>43</v>
      </c>
    </row>
    <row r="49" customFormat="false" ht="15" hidden="false" customHeight="false" outlineLevel="0" collapsed="false">
      <c r="A49" s="0" t="s">
        <v>318</v>
      </c>
      <c r="B49" s="0" t="s">
        <v>319</v>
      </c>
      <c r="C49" s="22" t="n">
        <v>68446.88</v>
      </c>
      <c r="D49" s="22" t="n">
        <v>57698.96</v>
      </c>
      <c r="E49" s="22" t="n">
        <v>10483.66</v>
      </c>
      <c r="F49" s="28" t="n">
        <v>195</v>
      </c>
    </row>
    <row r="50" customFormat="false" ht="15" hidden="false" customHeight="false" outlineLevel="0" collapsed="false">
      <c r="A50" s="0" t="s">
        <v>320</v>
      </c>
      <c r="B50" s="0" t="s">
        <v>321</v>
      </c>
      <c r="C50" s="22" t="n">
        <v>68150.78</v>
      </c>
      <c r="D50" s="22" t="n">
        <v>68150.78</v>
      </c>
      <c r="E50" s="22" t="n">
        <v>0</v>
      </c>
      <c r="F50" s="28" t="n">
        <v>22</v>
      </c>
    </row>
    <row r="51" customFormat="false" ht="15" hidden="false" customHeight="false" outlineLevel="0" collapsed="false">
      <c r="A51" s="0" t="s">
        <v>322</v>
      </c>
      <c r="B51" s="0" t="s">
        <v>323</v>
      </c>
      <c r="C51" s="22" t="n">
        <v>65006.02</v>
      </c>
      <c r="D51" s="22" t="n">
        <v>61651.59</v>
      </c>
      <c r="E51" s="22" t="n">
        <v>3289.52</v>
      </c>
      <c r="F51" s="28" t="n">
        <v>88</v>
      </c>
    </row>
    <row r="52" customFormat="false" ht="15" hidden="false" customHeight="false" outlineLevel="0" collapsed="false">
      <c r="A52" s="0" t="s">
        <v>324</v>
      </c>
      <c r="B52" s="0" t="s">
        <v>325</v>
      </c>
      <c r="C52" s="22" t="n">
        <v>62752.33</v>
      </c>
      <c r="D52" s="22" t="n">
        <v>60445.45</v>
      </c>
      <c r="E52" s="22" t="n">
        <v>2306.88</v>
      </c>
      <c r="F52" s="28" t="n">
        <v>23</v>
      </c>
    </row>
    <row r="53" customFormat="false" ht="15" hidden="false" customHeight="false" outlineLevel="0" collapsed="false">
      <c r="A53" s="0" t="s">
        <v>326</v>
      </c>
      <c r="B53" s="0" t="s">
        <v>327</v>
      </c>
      <c r="C53" s="22" t="n">
        <v>58897.41</v>
      </c>
      <c r="D53" s="22" t="n">
        <v>56032.33</v>
      </c>
      <c r="E53" s="22" t="n">
        <v>2865.08</v>
      </c>
      <c r="F53" s="28" t="n">
        <v>29</v>
      </c>
    </row>
    <row r="54" customFormat="false" ht="15" hidden="false" customHeight="false" outlineLevel="0" collapsed="false">
      <c r="A54" s="0" t="s">
        <v>328</v>
      </c>
      <c r="B54" s="0" t="s">
        <v>329</v>
      </c>
      <c r="C54" s="22" t="n">
        <v>55371.94</v>
      </c>
      <c r="D54" s="22" t="n">
        <v>53917.94</v>
      </c>
      <c r="E54" s="22" t="n">
        <v>1285.77</v>
      </c>
      <c r="F54" s="28" t="n">
        <v>224</v>
      </c>
    </row>
    <row r="55" customFormat="false" ht="15" hidden="false" customHeight="false" outlineLevel="0" collapsed="false">
      <c r="A55" s="0" t="s">
        <v>330</v>
      </c>
      <c r="B55" s="0" t="s">
        <v>331</v>
      </c>
      <c r="C55" s="22" t="n">
        <v>54488.03</v>
      </c>
      <c r="D55" s="22" t="n">
        <v>45606.64</v>
      </c>
      <c r="E55" s="22" t="n">
        <v>8735.28</v>
      </c>
      <c r="F55" s="28" t="n">
        <v>140</v>
      </c>
    </row>
    <row r="56" customFormat="false" ht="15" hidden="false" customHeight="false" outlineLevel="0" collapsed="false">
      <c r="A56" s="0" t="s">
        <v>332</v>
      </c>
      <c r="B56" s="0" t="s">
        <v>333</v>
      </c>
      <c r="C56" s="22" t="n">
        <v>52746.92</v>
      </c>
      <c r="D56" s="22" t="n">
        <v>52190.33</v>
      </c>
      <c r="E56" s="22" t="n">
        <v>2027.83</v>
      </c>
      <c r="F56" s="28" t="n">
        <v>131</v>
      </c>
    </row>
    <row r="57" customFormat="false" ht="15" hidden="false" customHeight="false" outlineLevel="0" collapsed="false">
      <c r="A57" s="0" t="s">
        <v>334</v>
      </c>
      <c r="B57" s="0" t="s">
        <v>335</v>
      </c>
      <c r="C57" s="22" t="n">
        <v>52140.85</v>
      </c>
      <c r="D57" s="22" t="n">
        <v>52143.96</v>
      </c>
      <c r="E57" s="22" t="n">
        <v>0</v>
      </c>
      <c r="F57" s="28" t="n">
        <v>48</v>
      </c>
    </row>
    <row r="58" customFormat="false" ht="15" hidden="false" customHeight="false" outlineLevel="0" collapsed="false">
      <c r="A58" s="0" t="s">
        <v>336</v>
      </c>
      <c r="B58" s="0" t="s">
        <v>337</v>
      </c>
      <c r="C58" s="22" t="n">
        <v>49888.67</v>
      </c>
      <c r="D58" s="22" t="n">
        <v>40199.34</v>
      </c>
      <c r="E58" s="22" t="n">
        <v>9689.33</v>
      </c>
      <c r="F58" s="28" t="n">
        <v>18</v>
      </c>
    </row>
    <row r="59" customFormat="false" ht="15" hidden="false" customHeight="false" outlineLevel="0" collapsed="false">
      <c r="A59" s="0" t="s">
        <v>338</v>
      </c>
      <c r="B59" s="0" t="s">
        <v>339</v>
      </c>
      <c r="C59" s="22" t="n">
        <v>48983.92</v>
      </c>
      <c r="D59" s="22" t="n">
        <v>47760.38</v>
      </c>
      <c r="E59" s="22" t="n">
        <v>1100</v>
      </c>
      <c r="F59" s="28" t="n">
        <v>197</v>
      </c>
    </row>
    <row r="60" customFormat="false" ht="15" hidden="false" customHeight="false" outlineLevel="0" collapsed="false">
      <c r="A60" s="0" t="s">
        <v>340</v>
      </c>
      <c r="B60" s="0" t="s">
        <v>341</v>
      </c>
      <c r="C60" s="22" t="n">
        <v>42392.45</v>
      </c>
      <c r="D60" s="22" t="n">
        <v>42355.37</v>
      </c>
      <c r="E60" s="22" t="n">
        <v>0</v>
      </c>
      <c r="F60" s="28" t="n">
        <v>10</v>
      </c>
    </row>
    <row r="61" customFormat="false" ht="15" hidden="false" customHeight="false" outlineLevel="0" collapsed="false">
      <c r="A61" s="0" t="s">
        <v>342</v>
      </c>
      <c r="B61" s="0" t="s">
        <v>343</v>
      </c>
      <c r="C61" s="22" t="n">
        <v>42118</v>
      </c>
      <c r="D61" s="22" t="n">
        <v>42127.57</v>
      </c>
      <c r="E61" s="22" t="n">
        <v>0</v>
      </c>
      <c r="F61" s="28" t="n">
        <v>22</v>
      </c>
    </row>
    <row r="62" customFormat="false" ht="15" hidden="false" customHeight="false" outlineLevel="0" collapsed="false">
      <c r="A62" s="0" t="s">
        <v>344</v>
      </c>
      <c r="B62" s="0" t="s">
        <v>345</v>
      </c>
      <c r="C62" s="22" t="n">
        <v>34676.43</v>
      </c>
      <c r="D62" s="22" t="n">
        <v>20913.11</v>
      </c>
      <c r="E62" s="22" t="n">
        <v>13725.19</v>
      </c>
      <c r="F62" s="28" t="n">
        <v>74</v>
      </c>
    </row>
    <row r="63" customFormat="false" ht="15" hidden="false" customHeight="false" outlineLevel="0" collapsed="false">
      <c r="A63" s="0" t="s">
        <v>346</v>
      </c>
      <c r="B63" s="0" t="s">
        <v>347</v>
      </c>
      <c r="C63" s="22" t="n">
        <v>32834.88</v>
      </c>
      <c r="D63" s="22" t="n">
        <v>30286.2</v>
      </c>
      <c r="E63" s="22" t="n">
        <v>2546</v>
      </c>
      <c r="F63" s="28" t="n">
        <v>22</v>
      </c>
    </row>
    <row r="64" customFormat="false" ht="15" hidden="false" customHeight="false" outlineLevel="0" collapsed="false">
      <c r="A64" s="0" t="s">
        <v>348</v>
      </c>
      <c r="B64" s="0" t="s">
        <v>349</v>
      </c>
      <c r="C64" s="22" t="n">
        <v>31813.41</v>
      </c>
      <c r="D64" s="22" t="n">
        <v>31535.75</v>
      </c>
      <c r="E64" s="22" t="n">
        <v>550</v>
      </c>
      <c r="F64" s="28" t="n">
        <v>53</v>
      </c>
    </row>
    <row r="65" customFormat="false" ht="15" hidden="false" customHeight="false" outlineLevel="0" collapsed="false">
      <c r="A65" s="0" t="s">
        <v>350</v>
      </c>
      <c r="B65" s="0" t="s">
        <v>351</v>
      </c>
      <c r="C65" s="22" t="n">
        <v>29440.6</v>
      </c>
      <c r="D65" s="22" t="n">
        <v>28079.23</v>
      </c>
      <c r="E65" s="22" t="n">
        <v>1273.02</v>
      </c>
      <c r="F65" s="28" t="n">
        <v>104</v>
      </c>
    </row>
    <row r="66" customFormat="false" ht="15" hidden="false" customHeight="false" outlineLevel="0" collapsed="false">
      <c r="A66" s="0" t="s">
        <v>352</v>
      </c>
      <c r="B66" s="0" t="s">
        <v>353</v>
      </c>
      <c r="C66" s="22" t="n">
        <v>23982.3</v>
      </c>
      <c r="D66" s="22" t="n">
        <v>27822.42</v>
      </c>
      <c r="E66" s="22" t="n">
        <v>0</v>
      </c>
      <c r="F66" s="28" t="n">
        <v>25</v>
      </c>
    </row>
    <row r="67" customFormat="false" ht="15" hidden="false" customHeight="false" outlineLevel="0" collapsed="false">
      <c r="A67" s="0" t="s">
        <v>354</v>
      </c>
      <c r="B67" s="0" t="s">
        <v>355</v>
      </c>
      <c r="C67" s="22" t="n">
        <v>22734.84</v>
      </c>
      <c r="D67" s="22" t="n">
        <v>22734.84</v>
      </c>
      <c r="E67" s="22" t="n">
        <v>0</v>
      </c>
      <c r="F67" s="28" t="n">
        <v>17</v>
      </c>
    </row>
    <row r="68" customFormat="false" ht="15" hidden="false" customHeight="false" outlineLevel="0" collapsed="false">
      <c r="A68" s="0" t="s">
        <v>356</v>
      </c>
      <c r="B68" s="0" t="s">
        <v>357</v>
      </c>
      <c r="C68" s="22" t="n">
        <v>21998.38</v>
      </c>
      <c r="D68" s="22" t="n">
        <v>20798.5</v>
      </c>
      <c r="E68" s="22" t="n">
        <v>1170.86</v>
      </c>
      <c r="F68" s="28" t="n">
        <v>90</v>
      </c>
    </row>
    <row r="69" customFormat="false" ht="15" hidden="false" customHeight="false" outlineLevel="0" collapsed="false">
      <c r="A69" s="0" t="s">
        <v>358</v>
      </c>
      <c r="B69" s="0" t="s">
        <v>359</v>
      </c>
      <c r="C69" s="22" t="n">
        <v>21441.36</v>
      </c>
      <c r="D69" s="22" t="n">
        <v>21441.36</v>
      </c>
      <c r="E69" s="22" t="n">
        <v>0</v>
      </c>
      <c r="F69" s="28" t="n">
        <v>6</v>
      </c>
    </row>
    <row r="70" customFormat="false" ht="15" hidden="false" customHeight="false" outlineLevel="0" collapsed="false">
      <c r="A70" s="0" t="s">
        <v>360</v>
      </c>
      <c r="B70" s="0" t="s">
        <v>361</v>
      </c>
      <c r="C70" s="22" t="n">
        <v>21374.68</v>
      </c>
      <c r="D70" s="22" t="n">
        <v>21374.68</v>
      </c>
      <c r="E70" s="22" t="n">
        <v>0</v>
      </c>
      <c r="F70" s="28" t="n">
        <v>4</v>
      </c>
    </row>
    <row r="71" customFormat="false" ht="15" hidden="false" customHeight="false" outlineLevel="0" collapsed="false">
      <c r="A71" s="0" t="s">
        <v>362</v>
      </c>
      <c r="B71" s="0" t="s">
        <v>363</v>
      </c>
      <c r="C71" s="22" t="n">
        <v>20881.09</v>
      </c>
      <c r="D71" s="22" t="n">
        <v>20881.09</v>
      </c>
      <c r="E71" s="22" t="n">
        <v>0</v>
      </c>
      <c r="F71" s="28" t="n">
        <v>11</v>
      </c>
    </row>
    <row r="72" customFormat="false" ht="15" hidden="false" customHeight="false" outlineLevel="0" collapsed="false">
      <c r="A72" s="0" t="s">
        <v>364</v>
      </c>
      <c r="B72" s="0" t="s">
        <v>365</v>
      </c>
      <c r="C72" s="22" t="n">
        <v>20846.76</v>
      </c>
      <c r="D72" s="22" t="n">
        <v>19617.29</v>
      </c>
      <c r="E72" s="22" t="n">
        <v>1229.45</v>
      </c>
      <c r="F72" s="28" t="n">
        <v>32</v>
      </c>
    </row>
    <row r="73" customFormat="false" ht="15" hidden="false" customHeight="false" outlineLevel="0" collapsed="false">
      <c r="A73" s="0" t="s">
        <v>366</v>
      </c>
      <c r="B73" s="0" t="s">
        <v>367</v>
      </c>
      <c r="C73" s="22" t="n">
        <v>19451.88</v>
      </c>
      <c r="D73" s="22" t="n">
        <v>19400</v>
      </c>
      <c r="E73" s="22" t="n">
        <v>0</v>
      </c>
      <c r="F73" s="28" t="n">
        <v>73</v>
      </c>
    </row>
    <row r="74" customFormat="false" ht="15" hidden="false" customHeight="false" outlineLevel="0" collapsed="false">
      <c r="A74" s="0" t="s">
        <v>368</v>
      </c>
      <c r="B74" s="0" t="s">
        <v>369</v>
      </c>
      <c r="C74" s="22" t="n">
        <v>19011.53</v>
      </c>
      <c r="D74" s="22" t="n">
        <v>19011.55</v>
      </c>
      <c r="E74" s="22" t="n">
        <v>0</v>
      </c>
      <c r="F74" s="28" t="n">
        <v>29</v>
      </c>
    </row>
    <row r="75" customFormat="false" ht="15" hidden="false" customHeight="false" outlineLevel="0" collapsed="false">
      <c r="A75" s="0" t="s">
        <v>370</v>
      </c>
      <c r="B75" s="0" t="s">
        <v>371</v>
      </c>
      <c r="C75" s="22" t="n">
        <v>18549.05</v>
      </c>
      <c r="D75" s="22" t="n">
        <v>18546.71</v>
      </c>
      <c r="E75" s="22" t="n">
        <v>0</v>
      </c>
      <c r="F75" s="28" t="n">
        <v>34</v>
      </c>
    </row>
    <row r="76" customFormat="false" ht="15" hidden="false" customHeight="false" outlineLevel="0" collapsed="false">
      <c r="A76" s="0" t="s">
        <v>372</v>
      </c>
      <c r="B76" s="0" t="s">
        <v>373</v>
      </c>
      <c r="C76" s="22" t="n">
        <v>18122.44</v>
      </c>
      <c r="D76" s="22" t="n">
        <v>18072.53</v>
      </c>
      <c r="E76" s="22" t="n">
        <v>20.26</v>
      </c>
      <c r="F76" s="28" t="n">
        <v>73</v>
      </c>
    </row>
    <row r="77" customFormat="false" ht="15" hidden="false" customHeight="false" outlineLevel="0" collapsed="false">
      <c r="A77" s="0" t="s">
        <v>374</v>
      </c>
      <c r="B77" s="0" t="s">
        <v>375</v>
      </c>
      <c r="C77" s="22" t="n">
        <v>17338</v>
      </c>
      <c r="D77" s="22" t="n">
        <v>17265.28</v>
      </c>
      <c r="E77" s="22" t="n">
        <v>0</v>
      </c>
      <c r="F77" s="28" t="n">
        <v>25</v>
      </c>
    </row>
    <row r="78" customFormat="false" ht="15" hidden="false" customHeight="false" outlineLevel="0" collapsed="false">
      <c r="A78" s="0" t="s">
        <v>376</v>
      </c>
      <c r="B78" s="0" t="s">
        <v>377</v>
      </c>
      <c r="C78" s="22" t="n">
        <v>17264.65</v>
      </c>
      <c r="D78" s="22" t="n">
        <v>17261.07</v>
      </c>
      <c r="E78" s="22" t="n">
        <v>0</v>
      </c>
      <c r="F78" s="28" t="n">
        <v>12</v>
      </c>
    </row>
    <row r="79" customFormat="false" ht="15" hidden="false" customHeight="false" outlineLevel="0" collapsed="false">
      <c r="A79" s="0" t="s">
        <v>378</v>
      </c>
      <c r="B79" s="0" t="s">
        <v>379</v>
      </c>
      <c r="C79" s="22" t="n">
        <v>14596.16</v>
      </c>
      <c r="D79" s="22" t="n">
        <v>13181.81</v>
      </c>
      <c r="E79" s="22" t="n">
        <v>1301.28</v>
      </c>
      <c r="F79" s="28" t="n">
        <v>77</v>
      </c>
    </row>
    <row r="80" customFormat="false" ht="15" hidden="false" customHeight="false" outlineLevel="0" collapsed="false">
      <c r="A80" s="0" t="s">
        <v>380</v>
      </c>
      <c r="B80" s="0" t="s">
        <v>381</v>
      </c>
      <c r="C80" s="22" t="n">
        <v>12760</v>
      </c>
      <c r="D80" s="22" t="n">
        <v>11959.99</v>
      </c>
      <c r="E80" s="22" t="n">
        <v>800</v>
      </c>
      <c r="F80" s="28" t="n">
        <v>6</v>
      </c>
    </row>
    <row r="81" customFormat="false" ht="15" hidden="false" customHeight="false" outlineLevel="0" collapsed="false">
      <c r="A81" s="0" t="s">
        <v>382</v>
      </c>
      <c r="B81" s="0" t="s">
        <v>383</v>
      </c>
      <c r="C81" s="22" t="n">
        <v>12499.45</v>
      </c>
      <c r="D81" s="22" t="n">
        <v>5103.09</v>
      </c>
      <c r="E81" s="22" t="n">
        <v>7389.51</v>
      </c>
      <c r="F81" s="28" t="n">
        <v>35</v>
      </c>
    </row>
    <row r="82" customFormat="false" ht="15" hidden="false" customHeight="false" outlineLevel="0" collapsed="false">
      <c r="A82" s="0" t="s">
        <v>384</v>
      </c>
      <c r="B82" s="0" t="s">
        <v>385</v>
      </c>
      <c r="C82" s="22" t="n">
        <v>12240.82</v>
      </c>
      <c r="D82" s="22" t="n">
        <v>12231.2</v>
      </c>
      <c r="E82" s="22" t="n">
        <v>0</v>
      </c>
      <c r="F82" s="28" t="n">
        <v>27</v>
      </c>
    </row>
    <row r="83" customFormat="false" ht="15" hidden="false" customHeight="false" outlineLevel="0" collapsed="false">
      <c r="A83" s="0" t="s">
        <v>386</v>
      </c>
      <c r="B83" s="0" t="s">
        <v>387</v>
      </c>
      <c r="C83" s="22" t="n">
        <v>12084</v>
      </c>
      <c r="D83" s="22" t="n">
        <v>12084</v>
      </c>
      <c r="E83" s="22" t="n">
        <v>0</v>
      </c>
      <c r="F83" s="28" t="n">
        <v>1</v>
      </c>
    </row>
    <row r="84" customFormat="false" ht="15" hidden="false" customHeight="false" outlineLevel="0" collapsed="false">
      <c r="A84" s="0" t="s">
        <v>388</v>
      </c>
      <c r="B84" s="0" t="s">
        <v>389</v>
      </c>
      <c r="C84" s="22" t="n">
        <v>11859.6</v>
      </c>
      <c r="D84" s="22" t="n">
        <v>11738.82</v>
      </c>
      <c r="E84" s="22" t="n">
        <v>112</v>
      </c>
      <c r="F84" s="28" t="n">
        <v>25</v>
      </c>
    </row>
  </sheetData>
  <autoFilter ref="A4:F84"/>
  <mergeCells count="2">
    <mergeCell ref="A1:F1"/>
    <mergeCell ref="A2:F2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48"/>
  </cols>
  <sheetData>
    <row r="1" customFormat="false" ht="31.5" hidden="false" customHeight="true" outlineLevel="0" collapsed="false">
      <c r="A1" s="1" t="s">
        <v>390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391</v>
      </c>
      <c r="B2" s="2"/>
      <c r="C2" s="2"/>
      <c r="D2" s="2"/>
      <c r="E2" s="2"/>
    </row>
    <row r="4" customFormat="false" ht="27.75" hidden="false" customHeight="true" outlineLevel="0" collapsed="false">
      <c r="A4" s="20" t="s">
        <v>392</v>
      </c>
      <c r="B4" s="20" t="s">
        <v>393</v>
      </c>
      <c r="C4" s="20" t="s">
        <v>53</v>
      </c>
      <c r="D4" s="20" t="s">
        <v>50</v>
      </c>
      <c r="E4" s="20" t="s">
        <v>394</v>
      </c>
    </row>
    <row r="5" customFormat="false" ht="15" hidden="false" customHeight="false" outlineLevel="0" collapsed="false">
      <c r="A5" s="0" t="s">
        <v>395</v>
      </c>
      <c r="B5" s="28" t="n">
        <v>83056</v>
      </c>
      <c r="C5" s="0" t="s">
        <v>396</v>
      </c>
      <c r="D5" s="36" t="s">
        <v>56</v>
      </c>
      <c r="E5" s="35" t="s">
        <v>397</v>
      </c>
    </row>
    <row r="6" customFormat="false" ht="15" hidden="false" customHeight="false" outlineLevel="0" collapsed="false">
      <c r="A6" s="0" t="s">
        <v>398</v>
      </c>
      <c r="B6" s="28" t="n">
        <v>79665</v>
      </c>
      <c r="C6" s="0" t="s">
        <v>399</v>
      </c>
      <c r="D6" s="36" t="s">
        <v>56</v>
      </c>
      <c r="E6" s="35" t="s">
        <v>400</v>
      </c>
    </row>
    <row r="7" customFormat="false" ht="15" hidden="false" customHeight="false" outlineLevel="0" collapsed="false">
      <c r="A7" s="0" t="s">
        <v>401</v>
      </c>
      <c r="B7" s="28" t="n">
        <v>3381</v>
      </c>
      <c r="C7" s="0" t="s">
        <v>402</v>
      </c>
      <c r="D7" s="37" t="s">
        <v>403</v>
      </c>
      <c r="E7" s="35" t="s">
        <v>404</v>
      </c>
    </row>
    <row r="8" customFormat="false" ht="28.35" hidden="false" customHeight="false" outlineLevel="0" collapsed="false">
      <c r="A8" s="0" t="s">
        <v>405</v>
      </c>
      <c r="B8" s="28" t="n">
        <v>10</v>
      </c>
      <c r="C8" s="0" t="s">
        <v>406</v>
      </c>
      <c r="D8" s="37" t="s">
        <v>403</v>
      </c>
      <c r="E8" s="35" t="s">
        <v>407</v>
      </c>
    </row>
    <row r="9" customFormat="false" ht="15" hidden="false" customHeight="false" outlineLevel="0" collapsed="false">
      <c r="A9" s="0" t="s">
        <v>408</v>
      </c>
      <c r="B9" s="28" t="n">
        <v>30873</v>
      </c>
      <c r="C9" s="0" t="s">
        <v>409</v>
      </c>
      <c r="D9" s="36" t="s">
        <v>56</v>
      </c>
      <c r="E9" s="35" t="s">
        <v>410</v>
      </c>
    </row>
    <row r="10" customFormat="false" ht="28.35" hidden="false" customHeight="false" outlineLevel="0" collapsed="false">
      <c r="A10" s="0" t="s">
        <v>411</v>
      </c>
      <c r="B10" s="28" t="n">
        <v>32444</v>
      </c>
      <c r="C10" s="0" t="s">
        <v>409</v>
      </c>
      <c r="D10" s="37" t="s">
        <v>403</v>
      </c>
      <c r="E10" s="35" t="s">
        <v>412</v>
      </c>
    </row>
    <row r="11" customFormat="false" ht="28.35" hidden="false" customHeight="false" outlineLevel="0" collapsed="false">
      <c r="A11" s="0" t="s">
        <v>413</v>
      </c>
      <c r="B11" s="28" t="n">
        <v>19739</v>
      </c>
      <c r="C11" s="0" t="s">
        <v>409</v>
      </c>
      <c r="D11" s="36" t="s">
        <v>56</v>
      </c>
      <c r="E11" s="35" t="s">
        <v>414</v>
      </c>
    </row>
    <row r="12" customFormat="false" ht="28.35" hidden="false" customHeight="false" outlineLevel="0" collapsed="false">
      <c r="A12" s="0" t="s">
        <v>415</v>
      </c>
      <c r="B12" s="22" t="n">
        <v>0.05</v>
      </c>
      <c r="C12" s="0" t="s">
        <v>416</v>
      </c>
      <c r="D12" s="37" t="s">
        <v>59</v>
      </c>
      <c r="E12" s="35" t="s">
        <v>417</v>
      </c>
    </row>
    <row r="13" customFormat="false" ht="28.35" hidden="false" customHeight="false" outlineLevel="0" collapsed="false">
      <c r="A13" s="0" t="s">
        <v>418</v>
      </c>
      <c r="B13" s="22" t="n">
        <v>0.09</v>
      </c>
      <c r="C13" s="0" t="s">
        <v>416</v>
      </c>
      <c r="D13" s="37" t="s">
        <v>59</v>
      </c>
      <c r="E13" s="35" t="s">
        <v>419</v>
      </c>
    </row>
    <row r="14" customFormat="false" ht="28.35" hidden="false" customHeight="false" outlineLevel="0" collapsed="false">
      <c r="A14" s="0" t="s">
        <v>420</v>
      </c>
      <c r="B14" s="22" t="n">
        <v>800</v>
      </c>
      <c r="C14" s="0" t="s">
        <v>421</v>
      </c>
      <c r="D14" s="37" t="s">
        <v>59</v>
      </c>
      <c r="E14" s="35" t="s">
        <v>422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423</v>
      </c>
      <c r="B1" s="1"/>
    </row>
    <row r="2" customFormat="false" ht="19.5" hidden="false" customHeight="true" outlineLevel="0" collapsed="false">
      <c r="A2" s="2" t="s">
        <v>424</v>
      </c>
      <c r="B2" s="2"/>
    </row>
    <row r="4" customFormat="false" ht="36" hidden="false" customHeight="true" outlineLevel="0" collapsed="false">
      <c r="A4" s="50" t="s">
        <v>425</v>
      </c>
      <c r="B4" s="51" t="s">
        <v>426</v>
      </c>
    </row>
    <row r="5" customFormat="false" ht="36" hidden="false" customHeight="true" outlineLevel="0" collapsed="false">
      <c r="A5" s="50" t="s">
        <v>427</v>
      </c>
      <c r="B5" s="51" t="s">
        <v>428</v>
      </c>
    </row>
    <row r="6" customFormat="false" ht="36" hidden="false" customHeight="true" outlineLevel="0" collapsed="false">
      <c r="A6" s="50" t="s">
        <v>429</v>
      </c>
      <c r="B6" s="51" t="s">
        <v>430</v>
      </c>
    </row>
    <row r="7" customFormat="false" ht="36" hidden="false" customHeight="true" outlineLevel="0" collapsed="false">
      <c r="A7" s="50" t="s">
        <v>431</v>
      </c>
      <c r="B7" s="51" t="s">
        <v>432</v>
      </c>
    </row>
    <row r="8" customFormat="false" ht="36" hidden="false" customHeight="true" outlineLevel="0" collapsed="false">
      <c r="A8" s="50" t="s">
        <v>433</v>
      </c>
      <c r="B8" s="51" t="s">
        <v>434</v>
      </c>
    </row>
    <row r="9" customFormat="false" ht="36" hidden="false" customHeight="true" outlineLevel="0" collapsed="false">
      <c r="A9" s="50" t="s">
        <v>435</v>
      </c>
      <c r="B9" s="51" t="s">
        <v>436</v>
      </c>
    </row>
    <row r="10" customFormat="false" ht="36" hidden="false" customHeight="true" outlineLevel="0" collapsed="false">
      <c r="A10" s="50" t="s">
        <v>437</v>
      </c>
      <c r="B10" s="51" t="s">
        <v>438</v>
      </c>
    </row>
    <row r="11" customFormat="false" ht="36" hidden="false" customHeight="true" outlineLevel="0" collapsed="false">
      <c r="A11" s="50" t="s">
        <v>416</v>
      </c>
      <c r="B11" s="51" t="s">
        <v>439</v>
      </c>
    </row>
    <row r="12" customFormat="false" ht="36" hidden="false" customHeight="true" outlineLevel="0" collapsed="false">
      <c r="A12" s="50" t="s">
        <v>440</v>
      </c>
      <c r="B12" s="51" t="s">
        <v>441</v>
      </c>
    </row>
    <row r="13" customFormat="false" ht="36" hidden="false" customHeight="true" outlineLevel="0" collapsed="false">
      <c r="A13" s="50" t="s">
        <v>442</v>
      </c>
      <c r="B13" s="51" t="s">
        <v>443</v>
      </c>
    </row>
    <row r="14" customFormat="false" ht="36" hidden="false" customHeight="true" outlineLevel="0" collapsed="false">
      <c r="A14" s="50" t="s">
        <v>444</v>
      </c>
      <c r="B14" s="51" t="s">
        <v>445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25" right="0.25" top="0.4" bottom="0.4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&amp;CGrupo Kalfix | Dashboard financeiro consolidado&amp;RPágina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2026-07-27T20:35:24Z</dcterms:created>
  <dc:creator>openpyxl</dc:creator>
  <dc:description/>
  <dc:language>en-US</dc:language>
  <cp:lastModifiedBy/>
  <dcterms:modified xsi:type="dcterms:W3CDTF">2026-07-27T20:35:24Z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